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5"/>
  </bookViews>
  <sheets>
    <sheet name="01_业务总览" sheetId="1" r:id="rId1"/>
    <sheet name="02_接口范围" sheetId="2" r:id="rId2"/>
    <sheet name="03_压测场景" sheetId="3" r:id="rId3"/>
    <sheet name="04_TDSQLC观测" sheetId="4" r:id="rId4"/>
    <sheet name="05_数据准备" sheetId="5" r:id="rId5"/>
    <sheet name="06_执行记录" sheetId="6" r:id="rId6"/>
    <sheet name="07_结论与风险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<sst xmlns="http://schemas.openxmlformats.org/spreadsheetml/2006/main" count="1763" uniqueCount="437">
  <si>
    <t>压力测试业务总览</t>
  </si>
  <si>
    <t>项目</t>
  </si>
  <si>
    <t>当前内容</t>
  </si>
  <si>
    <t>业务解释</t>
  </si>
  <si>
    <t>负责人</t>
  </si>
  <si>
    <t>计划日期</t>
  </si>
  <si>
    <t>实际日期</t>
  </si>
  <si>
    <t>状态</t>
  </si>
  <si>
    <t>备注</t>
  </si>
  <si>
    <t>测试系统</t>
  </si>
  <si>
    <t>抽盒/gacha 服务</t>
  </si>
  <si>
    <t>抽卡机-5000张卡池出率</t>
  </si>
  <si>
    <t>林建烽</t>
  </si>
  <si>
    <t>2026/05/13-2026/06/13</t>
  </si>
  <si>
    <t/>
  </si>
  <si>
    <t>通过</t>
  </si>
  <si>
    <t>测试目的</t>
  </si>
  <si>
    <t>验证核心接口在目标并发下的稳定性和响应时间</t>
  </si>
  <si>
    <t>负载评估</t>
  </si>
  <si>
    <t>进行中</t>
  </si>
  <si>
    <t>测试范围</t>
  </si>
  <si>
    <t>商品列表、下单、支付链路</t>
  </si>
  <si>
    <t>单接口/链路/混合场景</t>
  </si>
  <si>
    <t>目标并发用户</t>
  </si>
  <si>
    <t>业务预估同时在线/同时操作人数</t>
  </si>
  <si>
    <t>核心通过标准</t>
  </si>
  <si>
    <t>失败率 &lt;= 1%; P90 &lt;= 1000ms; 无明显错误堆积</t>
  </si>
  <si>
    <t>业务侧：TPS=每秒300单
500用户并发数/300TPS&lt;=1.67RT(接口响应时间)</t>
  </si>
  <si>
    <t>最终结论</t>
  </si>
  <si>
    <t>待测试</t>
  </si>
  <si>
    <t>通过/有条件通过/不通过</t>
  </si>
  <si>
    <t>业务侧阅读顺序</t>
  </si>
  <si>
    <t>先看本页结论，再看 02 范围、03 场景、04 TDSQL-C 观测；05/06 给执行同学填写，07 用于评审风险和上线建议。</t>
  </si>
  <si>
    <t>结论项</t>
  </si>
  <si>
    <t>填写内容</t>
  </si>
  <si>
    <t>判定依据</t>
  </si>
  <si>
    <t>当前状态</t>
  </si>
  <si>
    <t>业务影响</t>
  </si>
  <si>
    <t>下一步</t>
  </si>
  <si>
    <t>是否满足目标并发</t>
  </si>
  <si>
    <t>500 并发下失败率、P95、QPS/TPS 是否达标</t>
  </si>
  <si>
    <t>影响活动承载能力</t>
  </si>
  <si>
    <t>完成正式轮次后填写</t>
  </si>
  <si>
    <t>是否满足 300 TPS</t>
  </si>
  <si>
    <t>下单/支付链路以 RW TPS 为准，不用接口 RPS 直接替代</t>
  </si>
  <si>
    <t>影响下单吞吐</t>
  </si>
  <si>
    <t>链路脚本补齐后验证</t>
  </si>
  <si>
    <t>数据库是否成为瓶颈</t>
  </si>
  <si>
    <t>CCU 是否封顶、CPU 是否 &gt;90%、连接数是否接近上限</t>
  </si>
  <si>
    <t>影响扩容和限流策略</t>
  </si>
  <si>
    <t>联动 TDSQL-C 监控确认</t>
  </si>
  <si>
    <t>上线建议</t>
  </si>
  <si>
    <t>供业务排期和发布决策使用</t>
  </si>
  <si>
    <t>压测完成后评审</t>
  </si>
  <si>
    <t>接口范围与成功口径</t>
  </si>
  <si>
    <t>编号</t>
  </si>
  <si>
    <t>业务场景</t>
  </si>
  <si>
    <t>接口/链路</t>
  </si>
  <si>
    <t>读写类型</t>
  </si>
  <si>
    <t>是否纳入</t>
  </si>
  <si>
    <t>重要性</t>
  </si>
  <si>
    <t>目标并发</t>
  </si>
  <si>
    <t>成功口径</t>
  </si>
  <si>
    <t>I01</t>
  </si>
  <si>
    <t>浏览商品列表</t>
  </si>
  <si>
    <t>GET /gacha/goods/v2/list</t>
  </si>
  <si>
    <t>RO/读</t>
  </si>
  <si>
    <t>是</t>
  </si>
  <si>
    <t>高</t>
  </si>
  <si>
    <t>1.添加用户并发数，RPS稳步上升，QPS=用户并发数/rt
2.失败率&lt;= 1%，RT&lt;= 1000ms
3.小程序无明显崩溃现象</t>
  </si>
  <si>
    <t>只读接口，可循环执行</t>
  </si>
  <si>
    <t>I02</t>
  </si>
  <si>
    <t>查看商品详情</t>
  </si>
  <si>
    <t>GET /gacha/goods/one/v2/{goods_id}</t>
  </si>
  <si>
    <t>中</t>
  </si>
  <si>
    <t>链路前置数据</t>
  </si>
  <si>
    <t>I03</t>
  </si>
  <si>
    <t>创建订单</t>
  </si>
  <si>
    <t>POST /gacha/pay/wx</t>
  </si>
  <si>
    <t>RW/写</t>
  </si>
  <si>
    <t>token 不归还，每个用户独立token</t>
  </si>
  <si>
    <t>I04</t>
  </si>
  <si>
    <t>抽卡结果</t>
  </si>
  <si>
    <t>/gacha/pay/result</t>
  </si>
  <si>
    <t>I05</t>
  </si>
  <si>
    <t>支付订单列表</t>
  </si>
  <si>
    <t>/gacha/order/list?cursor=0&amp;status=-1</t>
  </si>
  <si>
    <t>I06</t>
  </si>
  <si>
    <t>获取优惠券</t>
  </si>
  <si>
    <t>GET /gacha/coupon/all</t>
  </si>
  <si>
    <t>I07</t>
  </si>
  <si>
    <t>卡册卡牌</t>
  </si>
  <si>
    <t>GET /gacha/brands</t>
  </si>
  <si>
    <t>1.添加用户并发数，RPS稳步上升，QPS=用户并发数/rt
2.失败率&lt;= 1%，RT&lt;= 1000ms</t>
  </si>
  <si>
    <t>I08</t>
  </si>
  <si>
    <t>赏柜赏品</t>
  </si>
  <si>
    <t>GET /gacha/reward_brands</t>
  </si>
  <si>
    <t>I09</t>
  </si>
  <si>
    <t>卡册详情页</t>
  </si>
  <si>
    <t>GET /gacha/brand/goods</t>
  </si>
  <si>
    <t>I10</t>
  </si>
  <si>
    <t>卡册图鉴页</t>
  </si>
  <si>
    <t>GET /gacha/v2/user/goods/one</t>
  </si>
  <si>
    <t>重点测试对象* images过多</t>
  </si>
  <si>
    <t>I11</t>
  </si>
  <si>
    <t>(涌进来购买的用户)
链路1：浏览商品列表&gt;查看商品详情&gt;获取优惠券&gt;创建订单&gt;抽卡结果</t>
  </si>
  <si>
    <t>重点：业务成功数</t>
  </si>
  <si>
    <t>I12</t>
  </si>
  <si>
    <t>(未及时找到卡池的用户)
链路2：查看商品详情&gt;获取优惠券&gt;创建订单&gt;抽卡结果</t>
  </si>
  <si>
    <t>I13</t>
  </si>
  <si>
    <t>(从图鉴购买的用户)
链路3：卡册卡牌&gt;赏柜赏品&gt;卡册详情页&gt;卡册图鉴页&gt;创建订单&gt;抽卡结果</t>
  </si>
  <si>
    <t>I14</t>
  </si>
  <si>
    <t>混合1：浏览商品列表，卡册图鉴页，链路1</t>
  </si>
  <si>
    <t>I15</t>
  </si>
  <si>
    <t>混合2：卡册图鉴页，链路1</t>
  </si>
  <si>
    <t>压测场景与执行命令（只回答：怎么压）</t>
  </si>
  <si>
    <t>场景编号</t>
  </si>
  <si>
    <t>测试类型</t>
  </si>
  <si>
    <t>适用接口/链路</t>
  </si>
  <si>
    <t>并发用户</t>
  </si>
  <si>
    <t>启动速率</t>
  </si>
  <si>
    <t>持续时间</t>
  </si>
  <si>
    <t>建议命令</t>
  </si>
  <si>
    <t>业务目的</t>
  </si>
  <si>
    <t>重点观察</t>
  </si>
  <si>
    <t>是否纳入报告</t>
  </si>
  <si>
    <t>业务成功数/订单成功数</t>
  </si>
  <si>
    <t>W00</t>
  </si>
  <si>
    <t>预热</t>
  </si>
  <si>
    <t>单接口/链路均可</t>
  </si>
  <si>
    <t>2m</t>
  </si>
  <si>
    <t>locust -f case/locust_life.py -u 50 -r 10 --run-time 2m</t>
  </si>
  <si>
    <t>消化冷启动、缓存、连接池初始化</t>
  </si>
  <si>
    <t>预热数据不进入正式结论</t>
  </si>
  <si>
    <t>否</t>
  </si>
  <si>
    <t>预热后重置统计或重启正式压测</t>
  </si>
  <si>
    <t>S01</t>
  </si>
  <si>
    <t>单接口-平滑升压</t>
  </si>
  <si>
    <t>商品列表/详情/优惠券等</t>
  </si>
  <si>
    <t>5m</t>
  </si>
  <si>
    <t>locust -f case/locust_life.py -u 100 -r 10 --run-time 5m</t>
  </si>
  <si>
    <t>低压力基线</t>
  </si>
  <si>
    <t>RPS、P95、失败率、RO QPS</t>
  </si>
  <si>
    <t>用于观察基准响应</t>
  </si>
  <si>
    <t>S02</t>
  </si>
  <si>
    <t>10m</t>
  </si>
  <si>
    <t>locust -f case/locust_life.py -u 300 -r 10 --run-time 10m</t>
  </si>
  <si>
    <t>中压力容量</t>
  </si>
  <si>
    <t>RPS 是否随并发上升</t>
  </si>
  <si>
    <t>寻找拐点</t>
  </si>
  <si>
    <t>S03</t>
  </si>
  <si>
    <t>15m</t>
  </si>
  <si>
    <t>locust -f case/locust_life.py -u 500 -r 10 --run-time 15m</t>
  </si>
  <si>
    <t>目标并发稳定性</t>
  </si>
  <si>
    <t>P95/P99、失败率、CCU 是否爬坡</t>
  </si>
  <si>
    <t>正式容量结论依据</t>
  </si>
  <si>
    <t>S04</t>
  </si>
  <si>
    <t>单接口-瞬时冲击</t>
  </si>
  <si>
    <t>locust -f case/locust_life.py -u 500 -r 500 --run-time 10m</t>
  </si>
  <si>
    <t>模拟活动开场冲击</t>
  </si>
  <si>
    <t>错误峰值、连接数、CCU 扩容速度</t>
  </si>
  <si>
    <t>建议先执行 W00 预热</t>
  </si>
  <si>
    <t>F01</t>
  </si>
  <si>
    <t>链路场景</t>
  </si>
  <si>
    <t>列表 -&gt; 详情 -&gt; 下单 -&gt; 支付</t>
  </si>
  <si>
    <t>locust -f case/locust_life.py -u 500 -r 10 --run-time 10m</t>
  </si>
  <si>
    <t>验证完整交易链路</t>
  </si>
  <si>
    <t>RW TPS、锁等待、回滚、支付结果</t>
  </si>
  <si>
    <t>待确认</t>
  </si>
  <si>
    <t>当前框架需补齐链路任务</t>
  </si>
  <si>
    <t>M01</t>
  </si>
  <si>
    <t>混合场景</t>
  </si>
  <si>
    <t>80%浏览 + 20%下单支付</t>
  </si>
  <si>
    <t>30m</t>
  </si>
  <si>
    <t>locust -f case/locust_life.py -u 500 -r 10 --run-time 30m</t>
  </si>
  <si>
    <t>模拟真实业务流量</t>
  </si>
  <si>
    <t>RO/RW 比例、整体稳定性</t>
  </si>
  <si>
    <t>业务侧确认流量占比</t>
  </si>
  <si>
    <t>TDSQL-C Serverless 观测指标（只回答：数据库有没有压力）</t>
  </si>
  <si>
    <t>对象</t>
  </si>
  <si>
    <t>指标</t>
  </si>
  <si>
    <t>看 RO 还是 RW</t>
  </si>
  <si>
    <t>适用场景</t>
  </si>
  <si>
    <t>正常现象</t>
  </si>
  <si>
    <t>风险判定</t>
  </si>
  <si>
    <t>处理建议</t>
  </si>
  <si>
    <t>Serverless</t>
  </si>
  <si>
    <t>CCU 算力</t>
  </si>
  <si>
    <t>RO/RW 分开看</t>
  </si>
  <si>
    <t>所有场景</t>
  </si>
  <si>
    <t>压力开始后 CCU 爬坡，说明数据库感知到负载</t>
  </si>
  <si>
    <t>CCU 达到最大值后曲线变平</t>
  </si>
  <si>
    <t>确认最大 CCU 是否符合活动预期</t>
  </si>
  <si>
    <t>测弹性看爬坡；测容量看封顶后表现</t>
  </si>
  <si>
    <t>CPU</t>
  </si>
  <si>
    <t>CPU 利用率</t>
  </si>
  <si>
    <t>随流量上升但不长期满载</t>
  </si>
  <si>
    <t>CCU 封顶后 CPU &gt; 90%~95%</t>
  </si>
  <si>
    <t>扩容、优化 SQL、增加缓存或限流</t>
  </si>
  <si>
    <t>CPU 高但 QPS 不升通常是瓶颈信号</t>
  </si>
  <si>
    <t>连接</t>
  </si>
  <si>
    <t>连接数/活跃连接</t>
  </si>
  <si>
    <t>瞬时冲击</t>
  </si>
  <si>
    <t>连接数稳定低于上限</t>
  </si>
  <si>
    <t>接近最大连接数或连接突增失败</t>
  </si>
  <si>
    <t>检查应用连接池、数据库代理和最大连接限制</t>
  </si>
  <si>
    <t>u500 r500 重点看连接尖峰</t>
  </si>
  <si>
    <t>读流量</t>
  </si>
  <si>
    <t>QPS / 慢查询 / 读 IOPS</t>
  </si>
  <si>
    <t>RO 优先</t>
  </si>
  <si>
    <t>列表、详情、优惠券、卡册</t>
  </si>
  <si>
    <t>QPS 随 RPS 上升，慢查询少</t>
  </si>
  <si>
    <t>慢查询上升或 RO CPU/CCU 封顶</t>
  </si>
  <si>
    <t>加索引、缓存热点、确认读写分离命中 RO</t>
  </si>
  <si>
    <t>如果读都走 RW，RO 图表参考价值低</t>
  </si>
  <si>
    <t>写流量</t>
  </si>
  <si>
    <t>TPS / 行锁 / 回滚 / 写 IOPS</t>
  </si>
  <si>
    <t>RW</t>
  </si>
  <si>
    <t>下单、支付、扣库存</t>
  </si>
  <si>
    <t>TPS 稳定，锁等待和回滚可控</t>
  </si>
  <si>
    <t>TPS 不升、锁等待增加、回滚异常</t>
  </si>
  <si>
    <t>检查事务范围、库存锁、幂等和支付回调</t>
  </si>
  <si>
    <t>写链路不要只看接口 RPS</t>
  </si>
  <si>
    <t>代理</t>
  </si>
  <si>
    <t>读写路由/代理连接</t>
  </si>
  <si>
    <t>代理层</t>
  </si>
  <si>
    <t>使用数据库代理时</t>
  </si>
  <si>
    <t>读流量到 RO，写流量到 RW</t>
  </si>
  <si>
    <t>读流量压到 RW 或代理连接打满</t>
  </si>
  <si>
    <t>检查代理策略和连接池配置</t>
  </si>
  <si>
    <t>业务报告里说明是否启用读写分离</t>
  </si>
  <si>
    <t>延迟</t>
  </si>
  <si>
    <t>RO 延迟/复制延迟</t>
  </si>
  <si>
    <t>RO</t>
  </si>
  <si>
    <t>写后读场景</t>
  </si>
  <si>
    <t>延迟不影响业务读结果</t>
  </si>
  <si>
    <t>下单后查询状态读不到新数据</t>
  </si>
  <si>
    <t>写后读走 RW 或增加一致性策略</t>
  </si>
  <si>
    <t>交易链路尤其注意</t>
  </si>
  <si>
    <t>测试数据与前置条件</t>
  </si>
  <si>
    <t>数据项</t>
  </si>
  <si>
    <t>当前数量</t>
  </si>
  <si>
    <t>目标数量</t>
  </si>
  <si>
    <t>来源</t>
  </si>
  <si>
    <t>准备状态</t>
  </si>
  <si>
    <t>校验方式</t>
  </si>
  <si>
    <t>风险</t>
  </si>
  <si>
    <t>用户 token</t>
  </si>
  <si>
    <t>redis插入</t>
  </si>
  <si>
    <t>已准备</t>
  </si>
  <si>
    <t>启动前校验数量 &gt;= 并发数</t>
  </si>
  <si>
    <t>token 不归还，长时间压测可能耗尽</t>
  </si>
  <si>
    <t>商品数据</t>
  </si>
  <si>
    <t>满足下单库存</t>
  </si>
  <si>
    <t>业务/数据库</t>
  </si>
  <si>
    <t>接口返回可下单商品</t>
  </si>
  <si>
    <t>库存不足会导致业务失败</t>
  </si>
  <si>
    <t>支付环境</t>
  </si>
  <si>
    <t>预支付服务</t>
  </si>
  <si>
    <t>业务确认</t>
  </si>
  <si>
    <t>支付结果可回查</t>
  </si>
  <si>
    <t>何培升</t>
  </si>
  <si>
    <t>测试环境与正式环境，是否==？</t>
  </si>
  <si>
    <t>token 分片</t>
  </si>
  <si>
    <t>自动分片</t>
  </si>
  <si>
    <t>每个 worker 不重叠</t>
  </si>
  <si>
    <t>run_distributed_v2.ps1</t>
  </si>
  <si>
    <t>检查 worker 日志 Loaded tokens for worker x/y</t>
  </si>
  <si>
    <t>分片错误会导致账号复用</t>
  </si>
  <si>
    <t>分布式必查</t>
  </si>
  <si>
    <t>业务断言</t>
  </si>
  <si>
    <t>待补齐</t>
  </si>
  <si>
    <t>每个接口都有成功口径</t>
  </si>
  <si>
    <t>Locust 脚本</t>
  </si>
  <si>
    <t>HTTP 200 + 业务 code + 关键字段</t>
  </si>
  <si>
    <t>只看 200 会误判成功</t>
  </si>
  <si>
    <t>单接口和链路都需要</t>
  </si>
  <si>
    <t>执行记录（只填写真实压测数据）</t>
  </si>
  <si>
    <t>轮次</t>
  </si>
  <si>
    <t>日期</t>
  </si>
  <si>
    <t>命令</t>
  </si>
  <si>
    <t>总请求数</t>
  </si>
  <si>
    <t>失败数</t>
  </si>
  <si>
    <t>失败率</t>
  </si>
  <si>
    <t>平均RT(ms)</t>
  </si>
  <si>
    <t>P95(ms)</t>
  </si>
  <si>
    <t>Locust RPS</t>
  </si>
  <si>
    <t>RO QPS</t>
  </si>
  <si>
    <t>RW TPS</t>
  </si>
  <si>
    <t>CCU峰值</t>
  </si>
  <si>
    <t>CPU峰值</t>
  </si>
  <si>
    <t>连接数峰值</t>
  </si>
  <si>
    <t>结论</t>
  </si>
  <si>
    <t>截图摘要</t>
  </si>
  <si>
    <t>单接口</t>
  </si>
  <si>
    <t>不入报告</t>
  </si>
  <si>
    <t>R01</t>
  </si>
  <si>
    <t>单接口-平滑</t>
  </si>
  <si>
    <t>≈0.9</t>
  </si>
  <si>
    <t>R02</t>
  </si>
  <si>
    <t xml:space="preserve">1、.\run_distributed_v2.ps1 -Mode local -WorkerCount 4 -Headless -Users 300 -SpawnRate 10 -RunTime 2m -OnlySummary
2、.\run_distributed_v2.ps1 -Mode local -WorkerCount 4 -Headless -Users 300 -SpawnRate 10 -RunTime 10m30s -ResetStats -OnlySummary -CsvPrefix result\single_list_lite_u300_r10 -HtmlReport result\single_list_lite_u300_r10.html
</t>
  </si>
  <si>
    <t>R03</t>
  </si>
  <si>
    <t>1、.\run_distributed_v2.ps1 -Mode local -WorkerCount 4 -Headless -Users 500 -SpawnRate 10 -RunTime 2m -OnlySummary
2、.\run_distributed_v2.ps1 -Mode local -WorkerCount 4 -Headless -Users 500 -SpawnRate 10 -RunTime 15m30s -ResetStats -OnlySummary -CsvPrefix result\single_list_lite_u500_r10 -HtmlReport result\single_list_lite_u500_r10.html</t>
  </si>
  <si>
    <t>R04</t>
  </si>
  <si>
    <t>单接口-冲击</t>
  </si>
  <si>
    <t xml:space="preserve">预热：
master：窗口1、.\run_distributed_v2.ps1 -Mode master -WebPort 8089
worker1：.\run_distributed_v2.ps1 -Mode worker -Headless -MasterHost 20.1.2.240 -WorkerIndexOffset 0 -TotalWorkerCount 3 -TokenFile D:\ckj_locust\user_token.txt
worker1：.\run_distributed_v2.ps1 -Mode worker -Headless -MasterHost 20.1.2.240 -WorkerIndexOffset 2 -TotalWorkerCount 3 -TokenFile C:\ckj_locust\user_token.txt
</t>
  </si>
  <si>
    <t>W01</t>
  </si>
  <si>
    <t>R05</t>
  </si>
  <si>
    <t>R06</t>
  </si>
  <si>
    <t>R07</t>
  </si>
  <si>
    <t>R08</t>
  </si>
  <si>
    <t>W03</t>
  </si>
  <si>
    <t>R09</t>
  </si>
  <si>
    <t>R10</t>
  </si>
  <si>
    <t>R11</t>
  </si>
  <si>
    <t>R12</t>
  </si>
  <si>
    <t>W04</t>
  </si>
  <si>
    <t>R13</t>
  </si>
  <si>
    <t>R14</t>
  </si>
  <si>
    <t>R15</t>
  </si>
  <si>
    <t>R16</t>
  </si>
  <si>
    <t>W05</t>
  </si>
  <si>
    <t>R17</t>
  </si>
  <si>
    <t>R18</t>
  </si>
  <si>
    <t>R19</t>
  </si>
  <si>
    <t>R20</t>
  </si>
  <si>
    <t>W06</t>
  </si>
  <si>
    <t>R21</t>
  </si>
  <si>
    <t>R22</t>
  </si>
  <si>
    <t>R23</t>
  </si>
  <si>
    <t>R24</t>
  </si>
  <si>
    <t>W07</t>
  </si>
  <si>
    <t>R25</t>
  </si>
  <si>
    <t>R26</t>
  </si>
  <si>
    <t>R27</t>
  </si>
  <si>
    <t>R28</t>
  </si>
  <si>
    <t>W08</t>
  </si>
  <si>
    <t>R29</t>
  </si>
  <si>
    <t>赏柜商品</t>
  </si>
  <si>
    <t>R30</t>
  </si>
  <si>
    <t>R31</t>
  </si>
  <si>
    <t>R32</t>
  </si>
  <si>
    <t>W09</t>
  </si>
  <si>
    <t>R33</t>
  </si>
  <si>
    <t>R34</t>
  </si>
  <si>
    <t>R35</t>
  </si>
  <si>
    <t>R36</t>
  </si>
  <si>
    <t>W10</t>
  </si>
  <si>
    <t>R37</t>
  </si>
  <si>
    <t>R38</t>
  </si>
  <si>
    <t>R39</t>
  </si>
  <si>
    <t>R40</t>
  </si>
  <si>
    <t>W11</t>
  </si>
  <si>
    <t>R41</t>
  </si>
  <si>
    <t>链路场景-平滑</t>
  </si>
  <si>
    <t>链路1</t>
  </si>
  <si>
    <t>R42</t>
  </si>
  <si>
    <t>R43</t>
  </si>
  <si>
    <t>R44</t>
  </si>
  <si>
    <t>链路场景-瞬时冲击</t>
  </si>
  <si>
    <t>W12</t>
  </si>
  <si>
    <t>R45</t>
  </si>
  <si>
    <t>链路2</t>
  </si>
  <si>
    <t>R46</t>
  </si>
  <si>
    <t>R47</t>
  </si>
  <si>
    <t>R48</t>
  </si>
  <si>
    <t>W13</t>
  </si>
  <si>
    <t>R49</t>
  </si>
  <si>
    <t>链路3</t>
  </si>
  <si>
    <t>R50</t>
  </si>
  <si>
    <t>R51</t>
  </si>
  <si>
    <t>R52</t>
  </si>
  <si>
    <t>W14</t>
  </si>
  <si>
    <t>R53</t>
  </si>
  <si>
    <t>R54</t>
  </si>
  <si>
    <t>R55</t>
  </si>
  <si>
    <t>R56</t>
  </si>
  <si>
    <t>W15</t>
  </si>
  <si>
    <t>R57</t>
  </si>
  <si>
    <t>混合1</t>
  </si>
  <si>
    <t>R58</t>
  </si>
  <si>
    <t>R59</t>
  </si>
  <si>
    <t>R60</t>
  </si>
  <si>
    <t>W16</t>
  </si>
  <si>
    <t>R61</t>
  </si>
  <si>
    <t>混合2</t>
  </si>
  <si>
    <t>R62</t>
  </si>
  <si>
    <t>R63</t>
  </si>
  <si>
    <t>R64</t>
  </si>
  <si>
    <t>结果汇总、风险与上线建议</t>
  </si>
  <si>
    <t>业务目标</t>
  </si>
  <si>
    <t>实测结果</t>
  </si>
  <si>
    <t>是否达标</t>
  </si>
  <si>
    <t>影响说明</t>
  </si>
  <si>
    <t>计划完成时间</t>
  </si>
  <si>
    <t>&lt;= 1%</t>
  </si>
  <si>
    <t>待填写</t>
  </si>
  <si>
    <t>失败率过高会影响用户下单/支付体验</t>
  </si>
  <si>
    <t>定位接口错误和依赖异常</t>
  </si>
  <si>
    <t>P95 响应时间</t>
  </si>
  <si>
    <t>&lt;= 1000ms</t>
  </si>
  <si>
    <t>响应慢会影响转化率</t>
  </si>
  <si>
    <t>定位慢接口/数据库/缓存瓶颈</t>
  </si>
  <si>
    <t>峰值 QPS</t>
  </si>
  <si>
    <t>满足活动峰值</t>
  </si>
  <si>
    <t>决定活动流量承载能力</t>
  </si>
  <si>
    <t>扩容或限流预案</t>
  </si>
  <si>
    <t>供上线决策使用</t>
  </si>
  <si>
    <t>明确上线建议和风险</t>
  </si>
  <si>
    <t>风险与待办</t>
  </si>
  <si>
    <t>用于业务评审：哪些问题会影响上线，谁负责，什么时候关闭。</t>
  </si>
  <si>
    <t>风险/问题</t>
  </si>
  <si>
    <t>等级</t>
  </si>
  <si>
    <t>影响范围</t>
  </si>
  <si>
    <t>发现阶段</t>
  </si>
  <si>
    <t>责任人</t>
  </si>
  <si>
    <t>截止时间</t>
  </si>
  <si>
    <t>RISK-001</t>
  </si>
  <si>
    <t>链路场景任务尚未实现</t>
  </si>
  <si>
    <t>无法评估下单支付完整链路</t>
  </si>
  <si>
    <t>测试准备</t>
  </si>
  <si>
    <t>补齐列表/详情/下单/支付步骤和业务断言</t>
  </si>
  <si>
    <t>未开始</t>
  </si>
  <si>
    <t>RISK-002</t>
  </si>
  <si>
    <t>token 不归还，数量不足会导致用户启动失败</t>
  </si>
  <si>
    <t>压测规模受账号池限制</t>
  </si>
  <si>
    <t>执行阶段</t>
  </si>
  <si>
    <t>账号池数量 &gt;= 并发用户数，并预留冗余</t>
  </si>
  <si>
    <t>RISK-003</t>
  </si>
  <si>
    <t>只判断 HTTP 200，缺少业务断言</t>
  </si>
  <si>
    <t>可能把业务失败统计为成功</t>
  </si>
  <si>
    <t>脚本开发</t>
  </si>
  <si>
    <t>校验业务 code、关键字段和订单状态</t>
  </si>
  <si>
    <t>RISK-004</t>
  </si>
  <si>
    <t>TDSQL-C RO/RW 指标未分开记录</t>
  </si>
  <si>
    <t>难以判断读写瓶颈位置</t>
  </si>
  <si>
    <t>执行记录页补充 RO QPS、RW TPS、CCU、CPU、连接数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</si>
</sst>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1F2937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7" borderId="0" xfId="0" applyFill="1"/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0" fontId="2" fillId="8" borderId="1" xfId="0" applyNumberFormat="1" applyFont="1" applyFill="1" applyBorder="1" applyAlignment="1">
      <alignment vertical="center" wrapText="1"/>
    </xf>
    <xf numFmtId="10" fontId="2" fillId="7" borderId="1" xfId="0" applyNumberFormat="1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vertical="center" wrapText="1"/>
    </xf>
    <xf numFmtId="10" fontId="2" fillId="5" borderId="1" xfId="0" applyNumberFormat="1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121285</xdr:colOff>
      <xdr:row>4</xdr:row>
      <xdr:rowOff>167640</xdr:rowOff>
    </xdr:from>
    <xdr:to>
      <xdr:col>21</xdr:col>
      <xdr:colOff>1172845</xdr:colOff>
      <xdr:row>4</xdr:row>
      <xdr:rowOff>875030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05160" y="1590040"/>
          <a:ext cx="1051560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1548130</xdr:colOff>
      <xdr:row>4</xdr:row>
      <xdr:rowOff>989330</xdr:rowOff>
    </xdr:from>
    <xdr:to>
      <xdr:col>21</xdr:col>
      <xdr:colOff>2625725</xdr:colOff>
      <xdr:row>4</xdr:row>
      <xdr:rowOff>1955800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932005" y="2411730"/>
          <a:ext cx="1077595" cy="96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190500</xdr:colOff>
      <xdr:row>4</xdr:row>
      <xdr:rowOff>1009650</xdr:rowOff>
    </xdr:from>
    <xdr:to>
      <xdr:col>21</xdr:col>
      <xdr:colOff>1324610</xdr:colOff>
      <xdr:row>4</xdr:row>
      <xdr:rowOff>1650365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574375" y="2432050"/>
          <a:ext cx="1134110" cy="64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118110</xdr:colOff>
      <xdr:row>4</xdr:row>
      <xdr:rowOff>1827530</xdr:rowOff>
    </xdr:from>
    <xdr:to>
      <xdr:col>21</xdr:col>
      <xdr:colOff>1276985</xdr:colOff>
      <xdr:row>4</xdr:row>
      <xdr:rowOff>2458085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01985" y="3249930"/>
          <a:ext cx="1158875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1372235</xdr:colOff>
      <xdr:row>4</xdr:row>
      <xdr:rowOff>196850</xdr:rowOff>
    </xdr:from>
    <xdr:to>
      <xdr:col>21</xdr:col>
      <xdr:colOff>2381885</xdr:colOff>
      <xdr:row>4</xdr:row>
      <xdr:rowOff>867410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56110" y="1619250"/>
          <a:ext cx="100965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382905</xdr:colOff>
      <xdr:row>5</xdr:row>
      <xdr:rowOff>257175</xdr:rowOff>
    </xdr:from>
    <xdr:to>
      <xdr:col>21</xdr:col>
      <xdr:colOff>1219200</xdr:colOff>
      <xdr:row>5</xdr:row>
      <xdr:rowOff>706755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766780" y="4308475"/>
          <a:ext cx="836295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1492250</xdr:colOff>
      <xdr:row>5</xdr:row>
      <xdr:rowOff>9525</xdr:rowOff>
    </xdr:from>
    <xdr:to>
      <xdr:col>21</xdr:col>
      <xdr:colOff>2371725</xdr:colOff>
      <xdr:row>5</xdr:row>
      <xdr:rowOff>516255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876125" y="4060825"/>
          <a:ext cx="879475" cy="50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454025</xdr:colOff>
      <xdr:row>5</xdr:row>
      <xdr:rowOff>895350</xdr:rowOff>
    </xdr:from>
    <xdr:to>
      <xdr:col>21</xdr:col>
      <xdr:colOff>1114425</xdr:colOff>
      <xdr:row>5</xdr:row>
      <xdr:rowOff>1266190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837900" y="4946650"/>
          <a:ext cx="66040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1440815</xdr:colOff>
      <xdr:row>5</xdr:row>
      <xdr:rowOff>781050</xdr:rowOff>
    </xdr:from>
    <xdr:to>
      <xdr:col>21</xdr:col>
      <xdr:colOff>2095500</xdr:colOff>
      <xdr:row>5</xdr:row>
      <xdr:rowOff>1182370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824690" y="4832350"/>
          <a:ext cx="654685" cy="401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1536700</xdr:colOff>
      <xdr:row>5</xdr:row>
      <xdr:rowOff>1409700</xdr:rowOff>
    </xdr:from>
    <xdr:to>
      <xdr:col>21</xdr:col>
      <xdr:colOff>2133600</xdr:colOff>
      <xdr:row>5</xdr:row>
      <xdr:rowOff>1813560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920575" y="5461000"/>
          <a:ext cx="59690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443865</xdr:colOff>
      <xdr:row>5</xdr:row>
      <xdr:rowOff>1343025</xdr:rowOff>
    </xdr:from>
    <xdr:to>
      <xdr:col>21</xdr:col>
      <xdr:colOff>1123950</xdr:colOff>
      <xdr:row>5</xdr:row>
      <xdr:rowOff>1734185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827740" y="5394325"/>
          <a:ext cx="68008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128905</xdr:colOff>
      <xdr:row>6</xdr:row>
      <xdr:rowOff>133350</xdr:rowOff>
    </xdr:from>
    <xdr:to>
      <xdr:col>21</xdr:col>
      <xdr:colOff>1219200</xdr:colOff>
      <xdr:row>6</xdr:row>
      <xdr:rowOff>669925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512780" y="6127750"/>
          <a:ext cx="109029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1512570</xdr:colOff>
      <xdr:row>6</xdr:row>
      <xdr:rowOff>152400</xdr:rowOff>
    </xdr:from>
    <xdr:to>
      <xdr:col>21</xdr:col>
      <xdr:colOff>2124075</xdr:colOff>
      <xdr:row>6</xdr:row>
      <xdr:rowOff>724535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896445" y="6146800"/>
          <a:ext cx="61150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450850</xdr:colOff>
      <xdr:row>6</xdr:row>
      <xdr:rowOff>825500</xdr:rowOff>
    </xdr:from>
    <xdr:to>
      <xdr:col>21</xdr:col>
      <xdr:colOff>1181100</xdr:colOff>
      <xdr:row>6</xdr:row>
      <xdr:rowOff>1334135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834725" y="6819900"/>
          <a:ext cx="730250" cy="50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1337945</xdr:colOff>
      <xdr:row>6</xdr:row>
      <xdr:rowOff>967740</xdr:rowOff>
    </xdr:from>
    <xdr:to>
      <xdr:col>21</xdr:col>
      <xdr:colOff>2459990</xdr:colOff>
      <xdr:row>6</xdr:row>
      <xdr:rowOff>1539240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4721820" y="6962140"/>
          <a:ext cx="1122045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pane ySplit="3" topLeftCell="A10" activePane="bottomLeft" state="frozen"/>
      <selection/>
      <selection pane="bottomLeft" activeCell="T5" sqref="T5"/>
    </sheetView>
  </sheetViews>
  <sheetFormatPr defaultColWidth="9" defaultRowHeight="13.5" outlineLevelCol="7"/>
  <cols>
    <col min="1" max="1" width="18" style="20" customWidth="1"/>
    <col min="2" max="2" width="34" style="20" customWidth="1"/>
    <col min="3" max="3" width="42" style="20" customWidth="1"/>
    <col min="4" max="4" width="14" style="20" customWidth="1"/>
    <col min="5" max="5" width="22.75" style="20" customWidth="1"/>
    <col min="6" max="6" width="25.25" style="20" customWidth="1"/>
    <col min="7" max="7" width="14" style="20" customWidth="1"/>
    <col min="8" max="8" width="30" style="20" customWidth="1"/>
    <col min="9" max="16384" width="9" style="20"/>
  </cols>
  <sheetData>
    <row r="1" ht="24" customHeight="1" spans="1:1">
      <c r="A1" s="21" t="s">
        <v>0</v>
      </c>
    </row>
    <row r="2" ht="24" customHeight="1" spans="1:8">
      <c r="A2" s="19"/>
      <c r="B2" s="19"/>
      <c r="C2" s="19"/>
      <c r="D2" s="19"/>
      <c r="E2" s="19"/>
      <c r="F2" s="19"/>
      <c r="G2" s="19"/>
      <c r="H2" s="19"/>
    </row>
    <row r="3" ht="24" customHeight="1" spans="1:8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</row>
    <row r="4" ht="24" customHeight="1" spans="1:8">
      <c r="A4" s="23" t="s">
        <v>9</v>
      </c>
      <c r="B4" s="23" t="s">
        <v>10</v>
      </c>
      <c r="C4" s="23" t="s">
        <v>11</v>
      </c>
      <c r="D4" s="24" t="s">
        <v>12</v>
      </c>
      <c r="E4" s="25" t="s">
        <v>13</v>
      </c>
      <c r="F4" s="23" t="s">
        <v>14</v>
      </c>
      <c r="G4" s="23" t="s">
        <v>15</v>
      </c>
      <c r="H4" s="23" t="s">
        <v>14</v>
      </c>
    </row>
    <row r="5" ht="33" customHeight="1" spans="1:8">
      <c r="A5" s="26" t="s">
        <v>16</v>
      </c>
      <c r="B5" s="26" t="s">
        <v>17</v>
      </c>
      <c r="C5" s="26" t="s">
        <v>18</v>
      </c>
      <c r="D5" s="27"/>
      <c r="E5" s="28"/>
      <c r="F5" s="26" t="s">
        <v>14</v>
      </c>
      <c r="G5" s="26" t="s">
        <v>19</v>
      </c>
      <c r="H5" s="26" t="s">
        <v>14</v>
      </c>
    </row>
    <row r="6" ht="24" customHeight="1" spans="1:8">
      <c r="A6" s="23" t="s">
        <v>20</v>
      </c>
      <c r="B6" s="23" t="s">
        <v>21</v>
      </c>
      <c r="C6" s="23" t="s">
        <v>22</v>
      </c>
      <c r="D6" s="27"/>
      <c r="E6" s="28"/>
      <c r="F6" s="23" t="s">
        <v>14</v>
      </c>
      <c r="G6" s="23" t="s">
        <v>19</v>
      </c>
      <c r="H6" s="23" t="s">
        <v>14</v>
      </c>
    </row>
    <row r="7" ht="24" customHeight="1" spans="1:8">
      <c r="A7" s="26" t="s">
        <v>23</v>
      </c>
      <c r="B7" s="26">
        <v>500</v>
      </c>
      <c r="C7" s="26" t="s">
        <v>24</v>
      </c>
      <c r="D7" s="27"/>
      <c r="E7" s="28"/>
      <c r="F7" s="26" t="s">
        <v>14</v>
      </c>
      <c r="G7" s="26" t="s">
        <v>19</v>
      </c>
      <c r="H7" s="26" t="s">
        <v>14</v>
      </c>
    </row>
    <row r="8" ht="34" customHeight="1" spans="1:8">
      <c r="A8" s="23" t="s">
        <v>25</v>
      </c>
      <c r="B8" s="23" t="s">
        <v>26</v>
      </c>
      <c r="C8" s="23" t="s">
        <v>27</v>
      </c>
      <c r="D8" s="27"/>
      <c r="E8" s="28"/>
      <c r="F8" s="23" t="s">
        <v>14</v>
      </c>
      <c r="G8" s="23" t="s">
        <v>19</v>
      </c>
      <c r="H8" s="23" t="s">
        <v>14</v>
      </c>
    </row>
    <row r="9" ht="24" customHeight="1" spans="1:8">
      <c r="A9" s="26" t="s">
        <v>28</v>
      </c>
      <c r="B9" s="26" t="s">
        <v>29</v>
      </c>
      <c r="C9" s="26" t="s">
        <v>30</v>
      </c>
      <c r="D9" s="29"/>
      <c r="E9" s="30"/>
      <c r="F9" s="26" t="s">
        <v>14</v>
      </c>
      <c r="G9" s="26" t="s">
        <v>19</v>
      </c>
      <c r="H9" s="26" t="s">
        <v>14</v>
      </c>
    </row>
    <row r="10" ht="24" customHeight="1" spans="1:8">
      <c r="A10" s="18"/>
      <c r="B10" s="18"/>
      <c r="C10" s="18"/>
      <c r="D10" s="18"/>
      <c r="E10" s="18"/>
      <c r="F10" s="18"/>
      <c r="G10" s="18"/>
      <c r="H10" s="18"/>
    </row>
    <row r="11" ht="24" customHeight="1" spans="1:8">
      <c r="A11" s="19"/>
      <c r="B11" s="19"/>
      <c r="C11" s="19"/>
      <c r="D11" s="19"/>
      <c r="E11" s="19"/>
      <c r="F11" s="19"/>
      <c r="G11" s="19"/>
      <c r="H11" s="19"/>
    </row>
    <row r="12" ht="24" customHeight="1" spans="1:8">
      <c r="A12" s="31" t="s">
        <v>31</v>
      </c>
      <c r="B12" s="32" t="s">
        <v>32</v>
      </c>
      <c r="C12" s="18"/>
      <c r="D12" s="18"/>
      <c r="E12" s="18"/>
      <c r="F12" s="18"/>
      <c r="G12" s="18"/>
      <c r="H12" s="18"/>
    </row>
    <row r="13" ht="24" customHeight="1" spans="1:8">
      <c r="A13" s="19"/>
      <c r="B13" s="19"/>
      <c r="C13" s="19"/>
      <c r="D13" s="19"/>
      <c r="E13" s="19"/>
      <c r="F13" s="19"/>
      <c r="G13" s="19"/>
      <c r="H13" s="19"/>
    </row>
    <row r="14" ht="24" customHeight="1" spans="1:8">
      <c r="A14" s="7" t="s">
        <v>33</v>
      </c>
      <c r="B14" s="7" t="s">
        <v>34</v>
      </c>
      <c r="C14" s="7" t="s">
        <v>35</v>
      </c>
      <c r="D14" s="7" t="s">
        <v>36</v>
      </c>
      <c r="E14" s="7" t="s">
        <v>37</v>
      </c>
      <c r="F14" s="7" t="s">
        <v>38</v>
      </c>
      <c r="G14" s="7" t="s">
        <v>7</v>
      </c>
      <c r="H14" s="7" t="s">
        <v>8</v>
      </c>
    </row>
    <row r="15" ht="24" customHeight="1" spans="1:8">
      <c r="A15" s="2" t="s">
        <v>39</v>
      </c>
      <c r="B15" s="2" t="s">
        <v>29</v>
      </c>
      <c r="C15" s="2" t="s">
        <v>40</v>
      </c>
      <c r="D15" s="2" t="s">
        <v>29</v>
      </c>
      <c r="E15" s="2" t="s">
        <v>41</v>
      </c>
      <c r="F15" s="2" t="s">
        <v>42</v>
      </c>
      <c r="G15" s="2"/>
      <c r="H15" s="2" t="s">
        <v>14</v>
      </c>
    </row>
    <row r="16" ht="24" customHeight="1" spans="1:8">
      <c r="A16" s="4" t="s">
        <v>43</v>
      </c>
      <c r="B16" s="4" t="s">
        <v>29</v>
      </c>
      <c r="C16" s="4" t="s">
        <v>44</v>
      </c>
      <c r="D16" s="4" t="s">
        <v>29</v>
      </c>
      <c r="E16" s="4" t="s">
        <v>45</v>
      </c>
      <c r="F16" s="4" t="s">
        <v>46</v>
      </c>
      <c r="G16" s="4" t="s">
        <v>14</v>
      </c>
      <c r="H16" s="4" t="s">
        <v>14</v>
      </c>
    </row>
    <row r="17" ht="24" customHeight="1" spans="1:8">
      <c r="A17" s="2" t="s">
        <v>47</v>
      </c>
      <c r="B17" s="2" t="s">
        <v>29</v>
      </c>
      <c r="C17" s="2" t="s">
        <v>48</v>
      </c>
      <c r="D17" s="2" t="s">
        <v>29</v>
      </c>
      <c r="E17" s="2" t="s">
        <v>49</v>
      </c>
      <c r="F17" s="2" t="s">
        <v>50</v>
      </c>
      <c r="G17" s="2" t="s">
        <v>14</v>
      </c>
      <c r="H17" s="2" t="s">
        <v>14</v>
      </c>
    </row>
    <row r="18" ht="24" customHeight="1" spans="1:8">
      <c r="A18" s="4" t="s">
        <v>51</v>
      </c>
      <c r="B18" s="4" t="s">
        <v>29</v>
      </c>
      <c r="C18" s="4" t="s">
        <v>30</v>
      </c>
      <c r="D18" s="4" t="s">
        <v>29</v>
      </c>
      <c r="E18" s="4" t="s">
        <v>52</v>
      </c>
      <c r="F18" s="4" t="s">
        <v>53</v>
      </c>
      <c r="G18" s="4" t="s">
        <v>14</v>
      </c>
      <c r="H18" s="4" t="s">
        <v>14</v>
      </c>
    </row>
  </sheetData>
  <mergeCells count="4">
    <mergeCell ref="A1:H1"/>
    <mergeCell ref="B12:H12"/>
    <mergeCell ref="D4:D9"/>
    <mergeCell ref="E4:E9"/>
  </mergeCells>
  <dataValidations count="2">
    <dataValidation type="list" allowBlank="1" sqref="D15:D34">
      <formula1>"待测试,通过,有风险,不通过"</formula1>
    </dataValidation>
    <dataValidation type="list" allowBlank="1" sqref="G4:G20">
      <formula1>"待确认,待测试,进行中,通过,有风险,不通过"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workbookViewId="0">
      <pane ySplit="3" topLeftCell="A4" activePane="bottomLeft" state="frozen"/>
      <selection/>
      <selection pane="bottomLeft" activeCell="T5" sqref="T5"/>
    </sheetView>
  </sheetViews>
  <sheetFormatPr defaultColWidth="9" defaultRowHeight="13.5"/>
  <cols>
    <col min="1" max="1" width="10" customWidth="1"/>
    <col min="2" max="2" width="22" customWidth="1"/>
    <col min="3" max="3" width="34" customWidth="1"/>
    <col min="4" max="4" width="14" customWidth="1"/>
    <col min="5" max="7" width="12" customWidth="1"/>
    <col min="8" max="9" width="34" customWidth="1"/>
  </cols>
  <sheetData>
    <row r="1" ht="24" customHeight="1" spans="1:1">
      <c r="A1" s="1" t="s">
        <v>54</v>
      </c>
    </row>
    <row r="2" ht="24" customHeight="1" spans="1:9">
      <c r="A2" s="2"/>
      <c r="B2" s="2"/>
      <c r="C2" s="2"/>
      <c r="D2" s="2"/>
      <c r="E2" s="2"/>
      <c r="F2" s="2"/>
      <c r="G2" s="2"/>
      <c r="H2" s="2"/>
      <c r="I2" s="2"/>
    </row>
    <row r="3" ht="24" customHeight="1" spans="1:9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8</v>
      </c>
    </row>
    <row r="4" ht="70" customHeight="1" spans="1:9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9" t="s">
        <v>68</v>
      </c>
      <c r="G4" s="4">
        <v>500</v>
      </c>
      <c r="H4" s="4" t="s">
        <v>69</v>
      </c>
      <c r="I4" s="4" t="s">
        <v>70</v>
      </c>
    </row>
    <row r="5" ht="24" customHeight="1" spans="1:9">
      <c r="A5" s="2" t="s">
        <v>71</v>
      </c>
      <c r="B5" s="2" t="s">
        <v>72</v>
      </c>
      <c r="C5" s="2" t="s">
        <v>73</v>
      </c>
      <c r="D5" s="2" t="s">
        <v>66</v>
      </c>
      <c r="E5" s="2" t="s">
        <v>67</v>
      </c>
      <c r="F5" s="2" t="s">
        <v>74</v>
      </c>
      <c r="G5" s="2">
        <v>500</v>
      </c>
      <c r="H5" s="4" t="s">
        <v>69</v>
      </c>
      <c r="I5" s="2" t="s">
        <v>75</v>
      </c>
    </row>
    <row r="6" ht="24" customHeight="1" spans="1:9">
      <c r="A6" s="4" t="s">
        <v>76</v>
      </c>
      <c r="B6" s="4" t="s">
        <v>77</v>
      </c>
      <c r="C6" s="4" t="s">
        <v>78</v>
      </c>
      <c r="D6" s="4" t="s">
        <v>79</v>
      </c>
      <c r="E6" s="4" t="s">
        <v>67</v>
      </c>
      <c r="F6" s="9" t="s">
        <v>68</v>
      </c>
      <c r="G6" s="4">
        <v>500</v>
      </c>
      <c r="H6" s="4" t="s">
        <v>69</v>
      </c>
      <c r="I6" s="4" t="s">
        <v>80</v>
      </c>
    </row>
    <row r="7" ht="24" customHeight="1" spans="1:9">
      <c r="A7" s="4" t="s">
        <v>81</v>
      </c>
      <c r="B7" s="2" t="s">
        <v>82</v>
      </c>
      <c r="C7" s="2" t="s">
        <v>83</v>
      </c>
      <c r="D7" s="2" t="s">
        <v>66</v>
      </c>
      <c r="E7" s="2" t="s">
        <v>67</v>
      </c>
      <c r="F7" s="9" t="s">
        <v>68</v>
      </c>
      <c r="G7" s="2"/>
      <c r="H7" s="4" t="s">
        <v>69</v>
      </c>
      <c r="I7" s="4" t="s">
        <v>80</v>
      </c>
    </row>
    <row r="8" ht="24" customHeight="1" spans="1:9">
      <c r="A8" s="4" t="s">
        <v>84</v>
      </c>
      <c r="B8" s="2" t="s">
        <v>85</v>
      </c>
      <c r="C8" s="2" t="s">
        <v>86</v>
      </c>
      <c r="D8" s="2" t="s">
        <v>66</v>
      </c>
      <c r="E8" s="2" t="s">
        <v>67</v>
      </c>
      <c r="F8" s="2" t="s">
        <v>74</v>
      </c>
      <c r="G8" s="2"/>
      <c r="H8" s="4" t="s">
        <v>69</v>
      </c>
      <c r="I8" s="4" t="s">
        <v>80</v>
      </c>
    </row>
    <row r="9" ht="24" customHeight="1" spans="1:9">
      <c r="A9" s="2" t="s">
        <v>87</v>
      </c>
      <c r="B9" s="2" t="s">
        <v>88</v>
      </c>
      <c r="C9" s="2" t="s">
        <v>89</v>
      </c>
      <c r="D9" s="2" t="s">
        <v>66</v>
      </c>
      <c r="E9" s="2" t="s">
        <v>67</v>
      </c>
      <c r="F9" s="2" t="s">
        <v>68</v>
      </c>
      <c r="G9" s="2">
        <v>500</v>
      </c>
      <c r="H9" s="4" t="s">
        <v>69</v>
      </c>
      <c r="I9" s="4" t="s">
        <v>80</v>
      </c>
    </row>
    <row r="10" ht="24" customHeight="1" spans="1:9">
      <c r="A10" s="4" t="s">
        <v>90</v>
      </c>
      <c r="B10" s="4" t="s">
        <v>91</v>
      </c>
      <c r="C10" s="4" t="s">
        <v>92</v>
      </c>
      <c r="D10" s="4" t="s">
        <v>66</v>
      </c>
      <c r="E10" s="4" t="s">
        <v>67</v>
      </c>
      <c r="F10" s="4" t="s">
        <v>68</v>
      </c>
      <c r="G10" s="4">
        <v>500</v>
      </c>
      <c r="H10" s="4" t="s">
        <v>93</v>
      </c>
      <c r="I10" s="4" t="s">
        <v>80</v>
      </c>
    </row>
    <row r="11" ht="24" customHeight="1" spans="1:9">
      <c r="A11" s="4" t="s">
        <v>94</v>
      </c>
      <c r="B11" s="2" t="s">
        <v>95</v>
      </c>
      <c r="C11" s="2" t="s">
        <v>96</v>
      </c>
      <c r="D11" s="2" t="s">
        <v>66</v>
      </c>
      <c r="E11" s="2" t="s">
        <v>67</v>
      </c>
      <c r="F11" s="2" t="s">
        <v>68</v>
      </c>
      <c r="G11" s="2">
        <v>500</v>
      </c>
      <c r="H11" s="4" t="s">
        <v>93</v>
      </c>
      <c r="I11" s="4" t="s">
        <v>80</v>
      </c>
    </row>
    <row r="12" ht="24" customHeight="1" spans="1:9">
      <c r="A12" s="4" t="s">
        <v>97</v>
      </c>
      <c r="B12" s="4" t="s">
        <v>98</v>
      </c>
      <c r="C12" s="4" t="s">
        <v>99</v>
      </c>
      <c r="D12" s="4" t="s">
        <v>66</v>
      </c>
      <c r="E12" s="4" t="s">
        <v>67</v>
      </c>
      <c r="F12" s="4" t="s">
        <v>68</v>
      </c>
      <c r="G12" s="4">
        <v>500</v>
      </c>
      <c r="H12" s="4" t="s">
        <v>93</v>
      </c>
      <c r="I12" s="4" t="s">
        <v>80</v>
      </c>
    </row>
    <row r="13" ht="24" customHeight="1" spans="1:9">
      <c r="A13" s="2" t="s">
        <v>100</v>
      </c>
      <c r="B13" s="2" t="s">
        <v>101</v>
      </c>
      <c r="C13" s="2" t="s">
        <v>102</v>
      </c>
      <c r="D13" s="2" t="s">
        <v>66</v>
      </c>
      <c r="E13" s="2" t="s">
        <v>67</v>
      </c>
      <c r="F13" s="9" t="s">
        <v>68</v>
      </c>
      <c r="G13" s="2">
        <v>500</v>
      </c>
      <c r="H13" s="4" t="s">
        <v>93</v>
      </c>
      <c r="I13" s="2" t="s">
        <v>103</v>
      </c>
    </row>
    <row r="14" ht="48" customHeight="1" spans="1:9">
      <c r="A14" s="4" t="s">
        <v>104</v>
      </c>
      <c r="B14" s="2" t="s">
        <v>105</v>
      </c>
      <c r="C14" s="2" t="s">
        <v>102</v>
      </c>
      <c r="D14" s="2" t="s">
        <v>66</v>
      </c>
      <c r="E14" s="2" t="s">
        <v>67</v>
      </c>
      <c r="F14" s="9" t="s">
        <v>68</v>
      </c>
      <c r="G14" s="2">
        <v>500</v>
      </c>
      <c r="H14" s="4" t="s">
        <v>93</v>
      </c>
      <c r="I14" s="2" t="s">
        <v>106</v>
      </c>
    </row>
    <row r="15" ht="48" customHeight="1" spans="1:9">
      <c r="A15" s="4" t="s">
        <v>107</v>
      </c>
      <c r="B15" s="2" t="s">
        <v>108</v>
      </c>
      <c r="C15" s="2" t="s">
        <v>102</v>
      </c>
      <c r="D15" s="2" t="s">
        <v>66</v>
      </c>
      <c r="E15" s="2" t="s">
        <v>67</v>
      </c>
      <c r="F15" s="9" t="s">
        <v>68</v>
      </c>
      <c r="G15" s="2">
        <v>500</v>
      </c>
      <c r="H15" s="4" t="s">
        <v>93</v>
      </c>
      <c r="I15" s="2" t="s">
        <v>106</v>
      </c>
    </row>
    <row r="16" ht="48" customHeight="1" spans="1:9">
      <c r="A16" s="4" t="s">
        <v>109</v>
      </c>
      <c r="B16" s="2" t="s">
        <v>110</v>
      </c>
      <c r="C16" s="2" t="s">
        <v>102</v>
      </c>
      <c r="D16" s="2" t="s">
        <v>66</v>
      </c>
      <c r="E16" s="2" t="s">
        <v>67</v>
      </c>
      <c r="F16" s="9" t="s">
        <v>68</v>
      </c>
      <c r="G16" s="2">
        <v>500</v>
      </c>
      <c r="H16" s="4" t="s">
        <v>93</v>
      </c>
      <c r="I16" s="2" t="s">
        <v>106</v>
      </c>
    </row>
    <row r="17" ht="48" customHeight="1" spans="1:9">
      <c r="A17" s="2" t="s">
        <v>111</v>
      </c>
      <c r="B17" s="2" t="s">
        <v>112</v>
      </c>
      <c r="C17" s="2" t="s">
        <v>102</v>
      </c>
      <c r="D17" s="2" t="s">
        <v>66</v>
      </c>
      <c r="E17" s="2" t="s">
        <v>67</v>
      </c>
      <c r="F17" s="9" t="s">
        <v>68</v>
      </c>
      <c r="G17" s="2">
        <v>500</v>
      </c>
      <c r="H17" s="4" t="s">
        <v>93</v>
      </c>
      <c r="I17" s="2" t="s">
        <v>106</v>
      </c>
    </row>
    <row r="18" ht="48" customHeight="1" spans="1:9">
      <c r="A18" s="4" t="s">
        <v>113</v>
      </c>
      <c r="B18" s="2" t="s">
        <v>114</v>
      </c>
      <c r="C18" s="2" t="s">
        <v>102</v>
      </c>
      <c r="D18" s="2" t="s">
        <v>66</v>
      </c>
      <c r="E18" s="2" t="s">
        <v>67</v>
      </c>
      <c r="F18" s="9" t="s">
        <v>68</v>
      </c>
      <c r="G18" s="2">
        <v>500</v>
      </c>
      <c r="H18" s="4" t="s">
        <v>93</v>
      </c>
      <c r="I18" s="2" t="s">
        <v>106</v>
      </c>
    </row>
  </sheetData>
  <mergeCells count="1">
    <mergeCell ref="A1:I1"/>
  </mergeCells>
  <dataValidations count="2">
    <dataValidation type="list" allowBlank="1" sqref="E4:E102">
      <formula1>"是,否,待确认"</formula1>
    </dataValidation>
    <dataValidation type="list" allowBlank="1" sqref="F4:F102">
      <formula1>"高,中,低"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3" topLeftCell="A4" activePane="bottomLeft" state="frozen"/>
      <selection/>
      <selection pane="bottomLeft" activeCell="T5" sqref="T5"/>
    </sheetView>
  </sheetViews>
  <sheetFormatPr defaultColWidth="9" defaultRowHeight="13.5"/>
  <cols>
    <col min="1" max="1" width="12" customWidth="1"/>
    <col min="2" max="2" width="18" customWidth="1"/>
    <col min="3" max="3" width="28" customWidth="1"/>
    <col min="4" max="6" width="12" customWidth="1"/>
    <col min="7" max="7" width="44" customWidth="1"/>
    <col min="8" max="8" width="30" customWidth="1"/>
    <col min="9" max="9" width="34" customWidth="1"/>
    <col min="10" max="10" width="14" customWidth="1"/>
    <col min="11" max="12" width="34" customWidth="1"/>
  </cols>
  <sheetData>
    <row r="1" ht="24" customHeight="1" spans="1:1">
      <c r="A1" s="1" t="s">
        <v>115</v>
      </c>
    </row>
    <row r="2" ht="24" customHeight="1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116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123</v>
      </c>
      <c r="I3" s="3" t="s">
        <v>124</v>
      </c>
      <c r="J3" s="3" t="s">
        <v>125</v>
      </c>
      <c r="K3" s="3" t="s">
        <v>126</v>
      </c>
      <c r="L3" s="3" t="s">
        <v>8</v>
      </c>
    </row>
    <row r="4" ht="24" customHeight="1" spans="1:12">
      <c r="A4" s="4" t="s">
        <v>127</v>
      </c>
      <c r="B4" s="4" t="s">
        <v>128</v>
      </c>
      <c r="C4" s="4" t="s">
        <v>129</v>
      </c>
      <c r="D4" s="4">
        <v>50</v>
      </c>
      <c r="E4" s="4">
        <v>10</v>
      </c>
      <c r="F4" s="4" t="s">
        <v>130</v>
      </c>
      <c r="G4" s="4" t="s">
        <v>131</v>
      </c>
      <c r="H4" s="4" t="s">
        <v>132</v>
      </c>
      <c r="I4" s="4" t="s">
        <v>133</v>
      </c>
      <c r="J4" s="4" t="s">
        <v>134</v>
      </c>
      <c r="K4" s="4"/>
      <c r="L4" s="4" t="s">
        <v>135</v>
      </c>
    </row>
    <row r="5" ht="24" customHeight="1" spans="1:12">
      <c r="A5" s="2" t="s">
        <v>136</v>
      </c>
      <c r="B5" s="2" t="s">
        <v>137</v>
      </c>
      <c r="C5" s="2" t="s">
        <v>138</v>
      </c>
      <c r="D5" s="2">
        <v>100</v>
      </c>
      <c r="E5" s="2">
        <v>10</v>
      </c>
      <c r="F5" s="2" t="s">
        <v>139</v>
      </c>
      <c r="G5" s="2" t="s">
        <v>140</v>
      </c>
      <c r="H5" s="2" t="s">
        <v>141</v>
      </c>
      <c r="I5" s="2" t="s">
        <v>142</v>
      </c>
      <c r="J5" s="2" t="s">
        <v>67</v>
      </c>
      <c r="K5" s="2"/>
      <c r="L5" s="2" t="s">
        <v>143</v>
      </c>
    </row>
    <row r="6" ht="24" customHeight="1" spans="1:12">
      <c r="A6" s="4" t="s">
        <v>144</v>
      </c>
      <c r="B6" s="4" t="s">
        <v>137</v>
      </c>
      <c r="C6" s="4" t="s">
        <v>138</v>
      </c>
      <c r="D6" s="4">
        <v>300</v>
      </c>
      <c r="E6" s="4">
        <v>10</v>
      </c>
      <c r="F6" s="4" t="s">
        <v>145</v>
      </c>
      <c r="G6" s="4" t="s">
        <v>146</v>
      </c>
      <c r="H6" s="4" t="s">
        <v>147</v>
      </c>
      <c r="I6" s="4" t="s">
        <v>148</v>
      </c>
      <c r="J6" s="4" t="s">
        <v>67</v>
      </c>
      <c r="K6" s="4"/>
      <c r="L6" s="4" t="s">
        <v>149</v>
      </c>
    </row>
    <row r="7" ht="24" customHeight="1" spans="1:12">
      <c r="A7" s="2" t="s">
        <v>150</v>
      </c>
      <c r="B7" s="2" t="s">
        <v>137</v>
      </c>
      <c r="C7" s="2" t="s">
        <v>138</v>
      </c>
      <c r="D7" s="2">
        <v>500</v>
      </c>
      <c r="E7" s="2">
        <v>10</v>
      </c>
      <c r="F7" s="2" t="s">
        <v>151</v>
      </c>
      <c r="G7" s="2" t="s">
        <v>152</v>
      </c>
      <c r="H7" s="2" t="s">
        <v>153</v>
      </c>
      <c r="I7" s="2" t="s">
        <v>154</v>
      </c>
      <c r="J7" s="2" t="s">
        <v>67</v>
      </c>
      <c r="K7" s="2"/>
      <c r="L7" s="2" t="s">
        <v>155</v>
      </c>
    </row>
    <row r="8" ht="24" customHeight="1" spans="1:12">
      <c r="A8" s="4" t="s">
        <v>156</v>
      </c>
      <c r="B8" s="4" t="s">
        <v>157</v>
      </c>
      <c r="C8" s="4" t="s">
        <v>138</v>
      </c>
      <c r="D8" s="4">
        <v>500</v>
      </c>
      <c r="E8" s="4">
        <v>500</v>
      </c>
      <c r="F8" s="4" t="s">
        <v>145</v>
      </c>
      <c r="G8" s="4" t="s">
        <v>158</v>
      </c>
      <c r="H8" s="4" t="s">
        <v>159</v>
      </c>
      <c r="I8" s="4" t="s">
        <v>160</v>
      </c>
      <c r="J8" s="4" t="s">
        <v>67</v>
      </c>
      <c r="K8" s="4"/>
      <c r="L8" s="4" t="s">
        <v>161</v>
      </c>
    </row>
    <row r="9" ht="24" customHeight="1" spans="1:12">
      <c r="A9" s="2" t="s">
        <v>162</v>
      </c>
      <c r="B9" s="2" t="s">
        <v>163</v>
      </c>
      <c r="C9" s="2" t="s">
        <v>164</v>
      </c>
      <c r="D9" s="2">
        <v>500</v>
      </c>
      <c r="E9" s="2">
        <v>10</v>
      </c>
      <c r="F9" s="2" t="s">
        <v>145</v>
      </c>
      <c r="G9" s="2" t="s">
        <v>165</v>
      </c>
      <c r="H9" s="2" t="s">
        <v>166</v>
      </c>
      <c r="I9" s="2" t="s">
        <v>167</v>
      </c>
      <c r="J9" s="2" t="s">
        <v>168</v>
      </c>
      <c r="K9" s="2"/>
      <c r="L9" s="2" t="s">
        <v>169</v>
      </c>
    </row>
    <row r="10" ht="24" customHeight="1" spans="1:12">
      <c r="A10" s="4" t="s">
        <v>170</v>
      </c>
      <c r="B10" s="4" t="s">
        <v>171</v>
      </c>
      <c r="C10" s="4" t="s">
        <v>172</v>
      </c>
      <c r="D10" s="4">
        <v>500</v>
      </c>
      <c r="E10" s="4">
        <v>10</v>
      </c>
      <c r="F10" s="4" t="s">
        <v>173</v>
      </c>
      <c r="G10" s="4" t="s">
        <v>174</v>
      </c>
      <c r="H10" s="4" t="s">
        <v>175</v>
      </c>
      <c r="I10" s="4" t="s">
        <v>176</v>
      </c>
      <c r="J10" s="4" t="s">
        <v>168</v>
      </c>
      <c r="K10" s="4"/>
      <c r="L10" s="4" t="s">
        <v>177</v>
      </c>
    </row>
  </sheetData>
  <mergeCells count="1">
    <mergeCell ref="A1:L1"/>
  </mergeCells>
  <dataValidations count="1">
    <dataValidation type="list" allowBlank="1" sqref="J4:J100">
      <formula1>"是,否,待确认"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pane ySplit="3" topLeftCell="A4" activePane="bottomLeft" state="frozen"/>
      <selection/>
      <selection pane="bottomLeft" activeCell="T5" sqref="T5"/>
    </sheetView>
  </sheetViews>
  <sheetFormatPr defaultColWidth="9" defaultRowHeight="13.5" outlineLevelCol="7"/>
  <cols>
    <col min="1" max="1" width="16" customWidth="1"/>
    <col min="2" max="2" width="24" customWidth="1"/>
    <col min="3" max="3" width="18" customWidth="1"/>
    <col min="4" max="4" width="24" customWidth="1"/>
    <col min="5" max="8" width="34" customWidth="1"/>
  </cols>
  <sheetData>
    <row r="1" ht="24" customHeight="1" spans="1:1">
      <c r="A1" s="1" t="s">
        <v>178</v>
      </c>
    </row>
    <row r="2" ht="24" customHeight="1" spans="1:8">
      <c r="A2" s="2"/>
      <c r="B2" s="2"/>
      <c r="C2" s="2"/>
      <c r="D2" s="2"/>
      <c r="E2" s="2"/>
      <c r="F2" s="2"/>
      <c r="G2" s="2"/>
      <c r="H2" s="2"/>
    </row>
    <row r="3" ht="24" customHeight="1" spans="1:8">
      <c r="A3" s="3" t="s">
        <v>179</v>
      </c>
      <c r="B3" s="3" t="s">
        <v>180</v>
      </c>
      <c r="C3" s="3" t="s">
        <v>181</v>
      </c>
      <c r="D3" s="3" t="s">
        <v>182</v>
      </c>
      <c r="E3" s="3" t="s">
        <v>183</v>
      </c>
      <c r="F3" s="3" t="s">
        <v>184</v>
      </c>
      <c r="G3" s="3" t="s">
        <v>185</v>
      </c>
      <c r="H3" s="3" t="s">
        <v>8</v>
      </c>
    </row>
    <row r="4" ht="24" customHeight="1" spans="1:8">
      <c r="A4" s="4" t="s">
        <v>186</v>
      </c>
      <c r="B4" s="4" t="s">
        <v>187</v>
      </c>
      <c r="C4" s="4" t="s">
        <v>188</v>
      </c>
      <c r="D4" s="4" t="s">
        <v>189</v>
      </c>
      <c r="E4" s="4" t="s">
        <v>190</v>
      </c>
      <c r="F4" s="4" t="s">
        <v>191</v>
      </c>
      <c r="G4" s="4" t="s">
        <v>192</v>
      </c>
      <c r="H4" s="4" t="s">
        <v>193</v>
      </c>
    </row>
    <row r="5" ht="24" customHeight="1" spans="1:8">
      <c r="A5" s="2" t="s">
        <v>194</v>
      </c>
      <c r="B5" s="2" t="s">
        <v>195</v>
      </c>
      <c r="C5" s="2" t="s">
        <v>188</v>
      </c>
      <c r="D5" s="2" t="s">
        <v>189</v>
      </c>
      <c r="E5" s="2" t="s">
        <v>196</v>
      </c>
      <c r="F5" s="2" t="s">
        <v>197</v>
      </c>
      <c r="G5" s="2" t="s">
        <v>198</v>
      </c>
      <c r="H5" s="2" t="s">
        <v>199</v>
      </c>
    </row>
    <row r="6" ht="24" customHeight="1" spans="1:8">
      <c r="A6" s="4" t="s">
        <v>200</v>
      </c>
      <c r="B6" s="4" t="s">
        <v>201</v>
      </c>
      <c r="C6" s="4" t="s">
        <v>188</v>
      </c>
      <c r="D6" s="4" t="s">
        <v>202</v>
      </c>
      <c r="E6" s="4" t="s">
        <v>203</v>
      </c>
      <c r="F6" s="4" t="s">
        <v>204</v>
      </c>
      <c r="G6" s="4" t="s">
        <v>205</v>
      </c>
      <c r="H6" s="4" t="s">
        <v>206</v>
      </c>
    </row>
    <row r="7" ht="24" customHeight="1" spans="1:8">
      <c r="A7" s="2" t="s">
        <v>207</v>
      </c>
      <c r="B7" s="2" t="s">
        <v>208</v>
      </c>
      <c r="C7" s="2" t="s">
        <v>209</v>
      </c>
      <c r="D7" s="2" t="s">
        <v>210</v>
      </c>
      <c r="E7" s="2" t="s">
        <v>211</v>
      </c>
      <c r="F7" s="2" t="s">
        <v>212</v>
      </c>
      <c r="G7" s="2" t="s">
        <v>213</v>
      </c>
      <c r="H7" s="2" t="s">
        <v>214</v>
      </c>
    </row>
    <row r="8" ht="24" customHeight="1" spans="1:8">
      <c r="A8" s="4" t="s">
        <v>215</v>
      </c>
      <c r="B8" s="4" t="s">
        <v>216</v>
      </c>
      <c r="C8" s="4" t="s">
        <v>217</v>
      </c>
      <c r="D8" s="4" t="s">
        <v>218</v>
      </c>
      <c r="E8" s="4" t="s">
        <v>219</v>
      </c>
      <c r="F8" s="4" t="s">
        <v>220</v>
      </c>
      <c r="G8" s="4" t="s">
        <v>221</v>
      </c>
      <c r="H8" s="4" t="s">
        <v>222</v>
      </c>
    </row>
    <row r="9" ht="24" customHeight="1" spans="1:8">
      <c r="A9" s="2" t="s">
        <v>223</v>
      </c>
      <c r="B9" s="2" t="s">
        <v>224</v>
      </c>
      <c r="C9" s="2" t="s">
        <v>225</v>
      </c>
      <c r="D9" s="2" t="s">
        <v>226</v>
      </c>
      <c r="E9" s="2" t="s">
        <v>227</v>
      </c>
      <c r="F9" s="2" t="s">
        <v>228</v>
      </c>
      <c r="G9" s="2" t="s">
        <v>229</v>
      </c>
      <c r="H9" s="2" t="s">
        <v>230</v>
      </c>
    </row>
    <row r="10" ht="24" customHeight="1" spans="1:8">
      <c r="A10" s="4" t="s">
        <v>231</v>
      </c>
      <c r="B10" s="4" t="s">
        <v>232</v>
      </c>
      <c r="C10" s="4" t="s">
        <v>233</v>
      </c>
      <c r="D10" s="4" t="s">
        <v>234</v>
      </c>
      <c r="E10" s="4" t="s">
        <v>235</v>
      </c>
      <c r="F10" s="4" t="s">
        <v>236</v>
      </c>
      <c r="G10" s="4" t="s">
        <v>237</v>
      </c>
      <c r="H10" s="4" t="s">
        <v>238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showGridLines="0" workbookViewId="0">
      <pane ySplit="3" topLeftCell="A4" activePane="bottomLeft" state="frozen"/>
      <selection/>
      <selection pane="bottomLeft" activeCell="T5" sqref="T5"/>
    </sheetView>
  </sheetViews>
  <sheetFormatPr defaultColWidth="9" defaultRowHeight="13.5" outlineLevelRow="7"/>
  <cols>
    <col min="1" max="1" width="18" customWidth="1"/>
    <col min="2" max="3" width="14" customWidth="1"/>
    <col min="4" max="4" width="20" customWidth="1"/>
    <col min="5" max="5" width="14" customWidth="1"/>
    <col min="6" max="6" width="34" customWidth="1"/>
    <col min="7" max="7" width="14" customWidth="1"/>
    <col min="8" max="8" width="34" customWidth="1"/>
    <col min="9" max="9" width="28" customWidth="1"/>
  </cols>
  <sheetData>
    <row r="1" ht="24" customHeight="1" spans="1:1">
      <c r="A1" s="1" t="s">
        <v>239</v>
      </c>
    </row>
    <row r="2" ht="24" customHeight="1" spans="1:9">
      <c r="A2" s="2"/>
      <c r="B2" s="2"/>
      <c r="C2" s="2"/>
      <c r="D2" s="2"/>
      <c r="E2" s="2"/>
      <c r="F2" s="2"/>
      <c r="G2" s="2"/>
      <c r="H2" s="2"/>
      <c r="I2" s="2"/>
    </row>
    <row r="3" ht="24" customHeight="1" spans="1:9">
      <c r="A3" s="17" t="s">
        <v>240</v>
      </c>
      <c r="B3" s="17" t="s">
        <v>241</v>
      </c>
      <c r="C3" s="17" t="s">
        <v>242</v>
      </c>
      <c r="D3" s="17" t="s">
        <v>243</v>
      </c>
      <c r="E3" s="17" t="s">
        <v>244</v>
      </c>
      <c r="F3" s="17" t="s">
        <v>245</v>
      </c>
      <c r="G3" s="17" t="s">
        <v>4</v>
      </c>
      <c r="H3" s="17" t="s">
        <v>246</v>
      </c>
      <c r="I3" s="17" t="s">
        <v>8</v>
      </c>
    </row>
    <row r="4" ht="24" customHeight="1" spans="1:9">
      <c r="A4" s="18" t="s">
        <v>247</v>
      </c>
      <c r="B4" s="18">
        <v>500</v>
      </c>
      <c r="C4" s="18">
        <v>500</v>
      </c>
      <c r="D4" s="18" t="s">
        <v>248</v>
      </c>
      <c r="E4" s="18" t="s">
        <v>249</v>
      </c>
      <c r="F4" s="18" t="s">
        <v>250</v>
      </c>
      <c r="G4" s="18" t="s">
        <v>12</v>
      </c>
      <c r="H4" s="18" t="s">
        <v>251</v>
      </c>
      <c r="I4" s="18" t="s">
        <v>14</v>
      </c>
    </row>
    <row r="5" ht="24" customHeight="1" spans="1:9">
      <c r="A5" s="19" t="s">
        <v>252</v>
      </c>
      <c r="B5" s="19" t="s">
        <v>168</v>
      </c>
      <c r="C5" s="19" t="s">
        <v>253</v>
      </c>
      <c r="D5" s="19" t="s">
        <v>254</v>
      </c>
      <c r="E5" s="19" t="s">
        <v>249</v>
      </c>
      <c r="F5" s="19" t="s">
        <v>255</v>
      </c>
      <c r="G5" s="19" t="s">
        <v>12</v>
      </c>
      <c r="H5" s="19" t="s">
        <v>256</v>
      </c>
      <c r="I5" s="19" t="s">
        <v>14</v>
      </c>
    </row>
    <row r="6" ht="24" customHeight="1" spans="1:9">
      <c r="A6" s="18" t="s">
        <v>257</v>
      </c>
      <c r="B6" s="18" t="s">
        <v>168</v>
      </c>
      <c r="C6" s="18" t="s">
        <v>258</v>
      </c>
      <c r="D6" s="18" t="s">
        <v>259</v>
      </c>
      <c r="E6" s="18" t="s">
        <v>249</v>
      </c>
      <c r="F6" s="18" t="s">
        <v>260</v>
      </c>
      <c r="G6" s="18" t="s">
        <v>261</v>
      </c>
      <c r="H6" s="18" t="s">
        <v>262</v>
      </c>
      <c r="I6" s="18" t="s">
        <v>14</v>
      </c>
    </row>
    <row r="7" ht="24" customHeight="1" spans="1:9">
      <c r="A7" s="19" t="s">
        <v>263</v>
      </c>
      <c r="B7" s="19" t="s">
        <v>264</v>
      </c>
      <c r="C7" s="19" t="s">
        <v>265</v>
      </c>
      <c r="D7" s="19" t="s">
        <v>266</v>
      </c>
      <c r="E7" s="19" t="s">
        <v>249</v>
      </c>
      <c r="F7" s="19" t="s">
        <v>267</v>
      </c>
      <c r="G7" s="19" t="s">
        <v>14</v>
      </c>
      <c r="H7" s="19" t="s">
        <v>268</v>
      </c>
      <c r="I7" s="19" t="s">
        <v>269</v>
      </c>
    </row>
    <row r="8" ht="24" customHeight="1" spans="1:9">
      <c r="A8" s="18" t="s">
        <v>270</v>
      </c>
      <c r="B8" s="18" t="s">
        <v>271</v>
      </c>
      <c r="C8" s="18" t="s">
        <v>272</v>
      </c>
      <c r="D8" s="18" t="s">
        <v>273</v>
      </c>
      <c r="E8" s="18" t="s">
        <v>249</v>
      </c>
      <c r="F8" s="18" t="s">
        <v>274</v>
      </c>
      <c r="G8" s="18" t="s">
        <v>14</v>
      </c>
      <c r="H8" s="18" t="s">
        <v>275</v>
      </c>
      <c r="I8" s="18" t="s">
        <v>276</v>
      </c>
    </row>
  </sheetData>
  <mergeCells count="1">
    <mergeCell ref="A1:I1"/>
  </mergeCells>
  <dataValidations count="1">
    <dataValidation type="list" allowBlank="1" sqref="E4:E100">
      <formula1>"未准备,待确认,已准备,已校验,有风险"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showGridLines="0" tabSelected="1" zoomScale="85" zoomScaleNormal="85" workbookViewId="0">
      <pane ySplit="3" topLeftCell="A6" activePane="bottomLeft" state="frozen"/>
      <selection/>
      <selection pane="bottomLeft" activeCell="E8" sqref="E8"/>
    </sheetView>
  </sheetViews>
  <sheetFormatPr defaultColWidth="9" defaultRowHeight="13.5"/>
  <cols>
    <col min="1" max="1" width="10" customWidth="1"/>
    <col min="2" max="2" width="14" customWidth="1"/>
    <col min="3" max="3" width="16" customWidth="1"/>
    <col min="4" max="4" width="18" customWidth="1"/>
    <col min="5" max="5" width="48.5" customWidth="1"/>
    <col min="6" max="7" width="10" customWidth="1"/>
    <col min="8" max="9" width="12" customWidth="1"/>
    <col min="10" max="10" width="24.375" customWidth="1"/>
    <col min="11" max="12" width="10" customWidth="1"/>
    <col min="13" max="19" width="12" customWidth="1"/>
    <col min="20" max="21" width="14" customWidth="1"/>
    <col min="22" max="22" width="36" customWidth="1"/>
  </cols>
  <sheetData>
    <row r="1" ht="24" customHeight="1" spans="1:1">
      <c r="A1" s="1" t="s">
        <v>277</v>
      </c>
    </row>
    <row r="2" ht="24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40" customHeight="1" spans="1:22">
      <c r="A3" s="3" t="s">
        <v>278</v>
      </c>
      <c r="B3" s="3" t="s">
        <v>279</v>
      </c>
      <c r="C3" s="3" t="s">
        <v>117</v>
      </c>
      <c r="D3" s="3" t="s">
        <v>57</v>
      </c>
      <c r="E3" s="3" t="s">
        <v>280</v>
      </c>
      <c r="F3" s="3" t="s">
        <v>119</v>
      </c>
      <c r="G3" s="3" t="s">
        <v>120</v>
      </c>
      <c r="H3" s="3" t="s">
        <v>121</v>
      </c>
      <c r="I3" s="3" t="s">
        <v>281</v>
      </c>
      <c r="J3" s="3" t="s">
        <v>126</v>
      </c>
      <c r="K3" s="3" t="s">
        <v>282</v>
      </c>
      <c r="L3" s="3" t="s">
        <v>283</v>
      </c>
      <c r="M3" s="3" t="s">
        <v>284</v>
      </c>
      <c r="N3" s="3" t="s">
        <v>285</v>
      </c>
      <c r="O3" s="3" t="s">
        <v>286</v>
      </c>
      <c r="P3" s="3" t="s">
        <v>287</v>
      </c>
      <c r="Q3" s="3" t="s">
        <v>288</v>
      </c>
      <c r="R3" s="3" t="s">
        <v>289</v>
      </c>
      <c r="S3" s="3" t="s">
        <v>290</v>
      </c>
      <c r="T3" s="3" t="s">
        <v>291</v>
      </c>
      <c r="U3" s="3" t="s">
        <v>292</v>
      </c>
      <c r="V3" s="3" t="s">
        <v>293</v>
      </c>
    </row>
    <row r="4" ht="24" customHeight="1" spans="1:22">
      <c r="A4" s="4" t="s">
        <v>127</v>
      </c>
      <c r="B4" s="4" t="s">
        <v>14</v>
      </c>
      <c r="C4" s="4" t="s">
        <v>128</v>
      </c>
      <c r="D4" s="4" t="s">
        <v>294</v>
      </c>
      <c r="E4" s="4" t="s">
        <v>131</v>
      </c>
      <c r="F4" s="4">
        <v>50</v>
      </c>
      <c r="G4" s="4">
        <v>10</v>
      </c>
      <c r="H4" s="4" t="s">
        <v>130</v>
      </c>
      <c r="I4" s="11" t="s">
        <v>14</v>
      </c>
      <c r="J4" s="11"/>
      <c r="K4" s="11" t="s">
        <v>14</v>
      </c>
      <c r="L4" s="12" t="e">
        <f>IF(I4&gt;0,K4/I4,0)</f>
        <v>#VALUE!</v>
      </c>
      <c r="M4" s="11" t="s">
        <v>14</v>
      </c>
      <c r="N4" s="11" t="s">
        <v>14</v>
      </c>
      <c r="O4" s="11" t="s">
        <v>14</v>
      </c>
      <c r="P4" s="11" t="s">
        <v>14</v>
      </c>
      <c r="Q4" s="11" t="s">
        <v>14</v>
      </c>
      <c r="R4" s="11" t="s">
        <v>14</v>
      </c>
      <c r="S4" s="12" t="s">
        <v>14</v>
      </c>
      <c r="T4" s="11" t="s">
        <v>14</v>
      </c>
      <c r="U4" s="4" t="s">
        <v>295</v>
      </c>
      <c r="V4" s="4"/>
    </row>
    <row r="5" s="8" customFormat="1" ht="207" customHeight="1" spans="1:22">
      <c r="A5" s="9" t="s">
        <v>296</v>
      </c>
      <c r="B5" s="9" t="s">
        <v>14</v>
      </c>
      <c r="C5" s="9" t="s">
        <v>297</v>
      </c>
      <c r="D5" s="9" t="s">
        <v>64</v>
      </c>
      <c r="E5" s="9" t="s">
        <v>140</v>
      </c>
      <c r="F5" s="9">
        <v>100</v>
      </c>
      <c r="G5" s="9">
        <v>10</v>
      </c>
      <c r="H5" s="9" t="s">
        <v>139</v>
      </c>
      <c r="I5" s="9">
        <v>14324</v>
      </c>
      <c r="J5" s="9">
        <v>14324</v>
      </c>
      <c r="K5" s="9">
        <v>0</v>
      </c>
      <c r="L5" s="13">
        <f>IF(I5&gt;0,K5/I5,0)</f>
        <v>0</v>
      </c>
      <c r="M5" s="9">
        <v>138.39</v>
      </c>
      <c r="N5" s="9">
        <v>200</v>
      </c>
      <c r="O5" s="9">
        <v>47</v>
      </c>
      <c r="P5" s="9">
        <v>171</v>
      </c>
      <c r="Q5" s="9">
        <v>0</v>
      </c>
      <c r="R5" s="9" t="s">
        <v>298</v>
      </c>
      <c r="S5" s="13">
        <v>0.0166</v>
      </c>
      <c r="T5" s="9">
        <v>93</v>
      </c>
      <c r="U5" s="9" t="s">
        <v>15</v>
      </c>
      <c r="V5" s="9"/>
    </row>
    <row r="6" s="8" customFormat="1" ht="153" customHeight="1" spans="1:22">
      <c r="A6" s="9" t="s">
        <v>299</v>
      </c>
      <c r="B6" s="9" t="s">
        <v>14</v>
      </c>
      <c r="C6" s="9" t="s">
        <v>297</v>
      </c>
      <c r="D6" s="9" t="s">
        <v>64</v>
      </c>
      <c r="E6" s="9" t="s">
        <v>300</v>
      </c>
      <c r="F6" s="9">
        <v>300</v>
      </c>
      <c r="G6" s="9">
        <v>10</v>
      </c>
      <c r="H6" s="9" t="s">
        <v>145</v>
      </c>
      <c r="I6" s="9">
        <v>24431</v>
      </c>
      <c r="J6" s="9">
        <v>24431</v>
      </c>
      <c r="K6" s="9">
        <v>0</v>
      </c>
      <c r="L6" s="13">
        <f>IF(I6&gt;0,K6/I6,0)</f>
        <v>0</v>
      </c>
      <c r="M6" s="9">
        <v>273.13</v>
      </c>
      <c r="N6" s="9">
        <v>220</v>
      </c>
      <c r="O6" s="9">
        <v>40.5</v>
      </c>
      <c r="P6" s="9">
        <v>173</v>
      </c>
      <c r="Q6" s="9">
        <v>0</v>
      </c>
      <c r="R6" s="9" t="s">
        <v>298</v>
      </c>
      <c r="S6" s="13">
        <v>0.0209</v>
      </c>
      <c r="T6" s="9"/>
      <c r="U6" s="9" t="s">
        <v>15</v>
      </c>
      <c r="V6" s="9" t="s">
        <v>14</v>
      </c>
    </row>
    <row r="7" s="8" customFormat="1" ht="182" customHeight="1" spans="1:22">
      <c r="A7" s="9" t="s">
        <v>301</v>
      </c>
      <c r="B7" s="9" t="s">
        <v>14</v>
      </c>
      <c r="C7" s="9" t="s">
        <v>297</v>
      </c>
      <c r="D7" s="9" t="s">
        <v>64</v>
      </c>
      <c r="E7" s="9" t="s">
        <v>302</v>
      </c>
      <c r="F7" s="9">
        <v>500</v>
      </c>
      <c r="G7" s="9">
        <v>10</v>
      </c>
      <c r="H7" s="9" t="s">
        <v>151</v>
      </c>
      <c r="I7" s="9">
        <v>36167</v>
      </c>
      <c r="J7" s="9">
        <v>36167</v>
      </c>
      <c r="K7" s="9">
        <v>0</v>
      </c>
      <c r="L7" s="13">
        <f>IF(I7&gt;0,K7/I7,0)</f>
        <v>0</v>
      </c>
      <c r="M7" s="9">
        <v>210.2</v>
      </c>
      <c r="N7" s="9">
        <v>180</v>
      </c>
      <c r="O7" s="9">
        <v>40.38</v>
      </c>
      <c r="P7" s="9">
        <v>162</v>
      </c>
      <c r="Q7" s="9" t="s">
        <v>14</v>
      </c>
      <c r="R7" s="9" t="s">
        <v>298</v>
      </c>
      <c r="S7" s="13">
        <v>0.0214</v>
      </c>
      <c r="T7" s="9">
        <v>76</v>
      </c>
      <c r="U7" s="9" t="s">
        <v>29</v>
      </c>
      <c r="V7" s="9" t="s">
        <v>14</v>
      </c>
    </row>
    <row r="8" s="8" customFormat="1" ht="287" customHeight="1" spans="1:22">
      <c r="A8" s="9" t="s">
        <v>303</v>
      </c>
      <c r="B8" s="9" t="s">
        <v>14</v>
      </c>
      <c r="C8" s="9" t="s">
        <v>304</v>
      </c>
      <c r="D8" s="9" t="s">
        <v>64</v>
      </c>
      <c r="E8" s="10" t="s">
        <v>305</v>
      </c>
      <c r="F8" s="9">
        <v>500</v>
      </c>
      <c r="G8" s="9">
        <v>500</v>
      </c>
      <c r="H8" s="9" t="s">
        <v>145</v>
      </c>
      <c r="I8" s="9" t="s">
        <v>14</v>
      </c>
      <c r="J8" s="9"/>
      <c r="K8" s="9" t="s">
        <v>14</v>
      </c>
      <c r="L8" s="13" t="e">
        <f>IF(I8&gt;0,K8/I8,0)</f>
        <v>#VALUE!</v>
      </c>
      <c r="M8" s="9" t="s">
        <v>14</v>
      </c>
      <c r="N8" s="9" t="s">
        <v>14</v>
      </c>
      <c r="O8" s="9" t="s">
        <v>14</v>
      </c>
      <c r="P8" s="9" t="s">
        <v>14</v>
      </c>
      <c r="Q8" s="9" t="s">
        <v>14</v>
      </c>
      <c r="R8" s="9" t="s">
        <v>14</v>
      </c>
      <c r="S8" s="13" t="s">
        <v>14</v>
      </c>
      <c r="T8" s="9" t="s">
        <v>14</v>
      </c>
      <c r="U8" s="9" t="s">
        <v>29</v>
      </c>
      <c r="V8" s="9" t="s">
        <v>14</v>
      </c>
    </row>
    <row r="9" customFormat="1" ht="24" customHeight="1" spans="1:22">
      <c r="A9" s="2" t="s">
        <v>306</v>
      </c>
      <c r="B9" s="4"/>
      <c r="C9" s="4" t="s">
        <v>128</v>
      </c>
      <c r="D9" s="4" t="s">
        <v>294</v>
      </c>
      <c r="E9" s="4" t="s">
        <v>131</v>
      </c>
      <c r="F9" s="4">
        <v>50</v>
      </c>
      <c r="G9" s="4">
        <v>10</v>
      </c>
      <c r="H9" s="4" t="s">
        <v>130</v>
      </c>
      <c r="I9" s="11"/>
      <c r="J9" s="11"/>
      <c r="K9" s="11"/>
      <c r="L9" s="12"/>
      <c r="M9" s="11"/>
      <c r="N9" s="11"/>
      <c r="O9" s="11"/>
      <c r="P9" s="11"/>
      <c r="Q9" s="11"/>
      <c r="R9" s="11"/>
      <c r="S9" s="12"/>
      <c r="T9" s="11"/>
      <c r="U9" s="4" t="s">
        <v>295</v>
      </c>
      <c r="V9" s="4"/>
    </row>
    <row r="10" customFormat="1" ht="24" customHeight="1" spans="1:22">
      <c r="A10" s="4" t="s">
        <v>307</v>
      </c>
      <c r="B10" s="2" t="s">
        <v>14</v>
      </c>
      <c r="C10" s="2" t="s">
        <v>297</v>
      </c>
      <c r="D10" s="2" t="s">
        <v>72</v>
      </c>
      <c r="E10" s="2" t="s">
        <v>140</v>
      </c>
      <c r="F10" s="2">
        <v>100</v>
      </c>
      <c r="G10" s="2">
        <v>10</v>
      </c>
      <c r="H10" s="2" t="s">
        <v>139</v>
      </c>
      <c r="I10" s="2" t="s">
        <v>14</v>
      </c>
      <c r="J10" s="2"/>
      <c r="K10" s="2" t="s">
        <v>14</v>
      </c>
      <c r="L10" s="14" t="e">
        <f t="shared" ref="L10:L18" si="0">IF(I10&gt;0,K10/I10,0)</f>
        <v>#VALUE!</v>
      </c>
      <c r="M10" s="2" t="s">
        <v>14</v>
      </c>
      <c r="N10" s="2" t="s">
        <v>14</v>
      </c>
      <c r="O10" s="2" t="s">
        <v>14</v>
      </c>
      <c r="P10" s="2" t="s">
        <v>14</v>
      </c>
      <c r="Q10" s="2" t="s">
        <v>14</v>
      </c>
      <c r="R10" s="2" t="s">
        <v>14</v>
      </c>
      <c r="S10" s="14" t="s">
        <v>14</v>
      </c>
      <c r="T10" s="2" t="s">
        <v>14</v>
      </c>
      <c r="U10" s="2" t="s">
        <v>29</v>
      </c>
      <c r="V10" s="2" t="s">
        <v>14</v>
      </c>
    </row>
    <row r="11" customFormat="1" ht="24" customHeight="1" spans="1:22">
      <c r="A11" s="2" t="s">
        <v>308</v>
      </c>
      <c r="B11" s="4" t="s">
        <v>14</v>
      </c>
      <c r="C11" s="4" t="s">
        <v>297</v>
      </c>
      <c r="D11" s="4" t="s">
        <v>72</v>
      </c>
      <c r="E11" s="4" t="s">
        <v>146</v>
      </c>
      <c r="F11" s="4">
        <v>300</v>
      </c>
      <c r="G11" s="4">
        <v>10</v>
      </c>
      <c r="H11" s="4" t="s">
        <v>145</v>
      </c>
      <c r="I11" s="4" t="s">
        <v>14</v>
      </c>
      <c r="J11" s="4"/>
      <c r="K11" s="4" t="s">
        <v>14</v>
      </c>
      <c r="L11" s="15" t="e">
        <f t="shared" si="0"/>
        <v>#VALUE!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 t="s">
        <v>14</v>
      </c>
      <c r="S11" s="15" t="s">
        <v>14</v>
      </c>
      <c r="T11" s="4" t="s">
        <v>14</v>
      </c>
      <c r="U11" s="4" t="s">
        <v>29</v>
      </c>
      <c r="V11" s="4" t="s">
        <v>14</v>
      </c>
    </row>
    <row r="12" customFormat="1" ht="24" customHeight="1" spans="1:22">
      <c r="A12" s="4" t="s">
        <v>309</v>
      </c>
      <c r="B12" s="2" t="s">
        <v>14</v>
      </c>
      <c r="C12" s="2" t="s">
        <v>297</v>
      </c>
      <c r="D12" s="2" t="s">
        <v>72</v>
      </c>
      <c r="E12" s="2" t="s">
        <v>152</v>
      </c>
      <c r="F12" s="2">
        <v>500</v>
      </c>
      <c r="G12" s="2">
        <v>10</v>
      </c>
      <c r="H12" s="2" t="s">
        <v>151</v>
      </c>
      <c r="I12" s="2" t="s">
        <v>14</v>
      </c>
      <c r="J12" s="2"/>
      <c r="K12" s="2" t="s">
        <v>14</v>
      </c>
      <c r="L12" s="14" t="e">
        <f t="shared" si="0"/>
        <v>#VALUE!</v>
      </c>
      <c r="M12" s="2" t="s">
        <v>14</v>
      </c>
      <c r="N12" s="2" t="s">
        <v>14</v>
      </c>
      <c r="O12" s="2" t="s">
        <v>14</v>
      </c>
      <c r="P12" s="2" t="s">
        <v>14</v>
      </c>
      <c r="Q12" s="2" t="s">
        <v>14</v>
      </c>
      <c r="R12" s="2" t="s">
        <v>14</v>
      </c>
      <c r="S12" s="14" t="s">
        <v>14</v>
      </c>
      <c r="T12" s="2" t="s">
        <v>14</v>
      </c>
      <c r="U12" s="2" t="s">
        <v>29</v>
      </c>
      <c r="V12" s="2" t="s">
        <v>14</v>
      </c>
    </row>
    <row r="13" customFormat="1" ht="24" customHeight="1" spans="1:22">
      <c r="A13" s="2" t="s">
        <v>310</v>
      </c>
      <c r="B13" s="4" t="s">
        <v>14</v>
      </c>
      <c r="C13" s="4" t="s">
        <v>304</v>
      </c>
      <c r="D13" s="4" t="s">
        <v>72</v>
      </c>
      <c r="E13" s="4" t="s">
        <v>158</v>
      </c>
      <c r="F13" s="4">
        <v>500</v>
      </c>
      <c r="G13" s="4">
        <v>500</v>
      </c>
      <c r="H13" s="4" t="s">
        <v>145</v>
      </c>
      <c r="I13" s="4" t="s">
        <v>14</v>
      </c>
      <c r="J13" s="4"/>
      <c r="K13" s="4" t="s">
        <v>14</v>
      </c>
      <c r="L13" s="15" t="e">
        <f t="shared" si="0"/>
        <v>#VALUE!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 t="s">
        <v>14</v>
      </c>
      <c r="S13" s="15" t="s">
        <v>14</v>
      </c>
      <c r="T13" s="4" t="s">
        <v>14</v>
      </c>
      <c r="U13" s="4" t="s">
        <v>29</v>
      </c>
      <c r="V13" s="4" t="s">
        <v>14</v>
      </c>
    </row>
    <row r="14" customFormat="1" ht="24" customHeight="1" spans="1:22">
      <c r="A14" s="2" t="s">
        <v>311</v>
      </c>
      <c r="B14" s="4"/>
      <c r="C14" s="4" t="s">
        <v>128</v>
      </c>
      <c r="D14" s="4" t="s">
        <v>294</v>
      </c>
      <c r="E14" s="4" t="s">
        <v>131</v>
      </c>
      <c r="F14" s="4">
        <v>50</v>
      </c>
      <c r="G14" s="4">
        <v>10</v>
      </c>
      <c r="H14" s="4" t="s">
        <v>130</v>
      </c>
      <c r="I14" s="11"/>
      <c r="J14" s="11"/>
      <c r="K14" s="11"/>
      <c r="L14" s="12"/>
      <c r="M14" s="11"/>
      <c r="N14" s="11"/>
      <c r="O14" s="11"/>
      <c r="P14" s="11"/>
      <c r="Q14" s="11"/>
      <c r="R14" s="11"/>
      <c r="S14" s="12"/>
      <c r="T14" s="11"/>
      <c r="U14" s="4" t="s">
        <v>295</v>
      </c>
      <c r="V14" s="4"/>
    </row>
    <row r="15" s="8" customFormat="1" ht="24" customHeight="1" spans="1:22">
      <c r="A15" s="9" t="s">
        <v>312</v>
      </c>
      <c r="B15" s="9" t="s">
        <v>14</v>
      </c>
      <c r="C15" s="9" t="s">
        <v>297</v>
      </c>
      <c r="D15" s="9" t="s">
        <v>77</v>
      </c>
      <c r="E15" s="9" t="s">
        <v>140</v>
      </c>
      <c r="F15" s="9">
        <v>100</v>
      </c>
      <c r="G15" s="9">
        <v>10</v>
      </c>
      <c r="H15" s="9" t="s">
        <v>139</v>
      </c>
      <c r="I15" s="9" t="s">
        <v>14</v>
      </c>
      <c r="J15" s="9"/>
      <c r="K15" s="9" t="s">
        <v>14</v>
      </c>
      <c r="L15" s="13" t="e">
        <f t="shared" si="0"/>
        <v>#VALUE!</v>
      </c>
      <c r="M15" s="9" t="s">
        <v>14</v>
      </c>
      <c r="N15" s="9" t="s">
        <v>14</v>
      </c>
      <c r="O15" s="9" t="s">
        <v>14</v>
      </c>
      <c r="P15" s="9" t="s">
        <v>14</v>
      </c>
      <c r="Q15" s="9" t="s">
        <v>14</v>
      </c>
      <c r="R15" s="9" t="s">
        <v>14</v>
      </c>
      <c r="S15" s="13" t="s">
        <v>14</v>
      </c>
      <c r="T15" s="9" t="s">
        <v>14</v>
      </c>
      <c r="U15" s="9" t="s">
        <v>29</v>
      </c>
      <c r="V15" s="9" t="s">
        <v>14</v>
      </c>
    </row>
    <row r="16" s="8" customFormat="1" ht="24" customHeight="1" spans="1:22">
      <c r="A16" s="9" t="s">
        <v>313</v>
      </c>
      <c r="B16" s="9" t="s">
        <v>14</v>
      </c>
      <c r="C16" s="9" t="s">
        <v>297</v>
      </c>
      <c r="D16" s="9" t="s">
        <v>77</v>
      </c>
      <c r="E16" s="9" t="s">
        <v>146</v>
      </c>
      <c r="F16" s="9">
        <v>300</v>
      </c>
      <c r="G16" s="9">
        <v>10</v>
      </c>
      <c r="H16" s="9" t="s">
        <v>145</v>
      </c>
      <c r="I16" s="9" t="s">
        <v>14</v>
      </c>
      <c r="J16" s="9"/>
      <c r="K16" s="9" t="s">
        <v>14</v>
      </c>
      <c r="L16" s="13" t="e">
        <f t="shared" si="0"/>
        <v>#VALUE!</v>
      </c>
      <c r="M16" s="9" t="s">
        <v>14</v>
      </c>
      <c r="N16" s="9" t="s">
        <v>14</v>
      </c>
      <c r="O16" s="9" t="s">
        <v>14</v>
      </c>
      <c r="P16" s="9" t="s">
        <v>14</v>
      </c>
      <c r="Q16" s="9" t="s">
        <v>14</v>
      </c>
      <c r="R16" s="9" t="s">
        <v>14</v>
      </c>
      <c r="S16" s="13" t="s">
        <v>14</v>
      </c>
      <c r="T16" s="9" t="s">
        <v>14</v>
      </c>
      <c r="U16" s="9" t="s">
        <v>29</v>
      </c>
      <c r="V16" s="9" t="s">
        <v>14</v>
      </c>
    </row>
    <row r="17" s="8" customFormat="1" ht="24" customHeight="1" spans="1:22">
      <c r="A17" s="9" t="s">
        <v>314</v>
      </c>
      <c r="B17" s="9" t="s">
        <v>14</v>
      </c>
      <c r="C17" s="9" t="s">
        <v>297</v>
      </c>
      <c r="D17" s="9" t="s">
        <v>77</v>
      </c>
      <c r="E17" s="9" t="s">
        <v>152</v>
      </c>
      <c r="F17" s="9">
        <v>500</v>
      </c>
      <c r="G17" s="9">
        <v>10</v>
      </c>
      <c r="H17" s="9" t="s">
        <v>151</v>
      </c>
      <c r="I17" s="9" t="s">
        <v>14</v>
      </c>
      <c r="J17" s="9"/>
      <c r="K17" s="9" t="s">
        <v>14</v>
      </c>
      <c r="L17" s="13" t="e">
        <f t="shared" si="0"/>
        <v>#VALUE!</v>
      </c>
      <c r="M17" s="9" t="s">
        <v>14</v>
      </c>
      <c r="N17" s="9" t="s">
        <v>14</v>
      </c>
      <c r="O17" s="9" t="s">
        <v>14</v>
      </c>
      <c r="P17" s="9" t="s">
        <v>14</v>
      </c>
      <c r="Q17" s="9" t="s">
        <v>14</v>
      </c>
      <c r="R17" s="9" t="s">
        <v>14</v>
      </c>
      <c r="S17" s="13" t="s">
        <v>14</v>
      </c>
      <c r="T17" s="9" t="s">
        <v>14</v>
      </c>
      <c r="U17" s="9" t="s">
        <v>29</v>
      </c>
      <c r="V17" s="9" t="s">
        <v>14</v>
      </c>
    </row>
    <row r="18" s="8" customFormat="1" ht="24" customHeight="1" spans="1:22">
      <c r="A18" s="9" t="s">
        <v>315</v>
      </c>
      <c r="B18" s="9" t="s">
        <v>14</v>
      </c>
      <c r="C18" s="9" t="s">
        <v>304</v>
      </c>
      <c r="D18" s="9" t="s">
        <v>77</v>
      </c>
      <c r="E18" s="9" t="s">
        <v>158</v>
      </c>
      <c r="F18" s="9">
        <v>500</v>
      </c>
      <c r="G18" s="9">
        <v>500</v>
      </c>
      <c r="H18" s="9" t="s">
        <v>145</v>
      </c>
      <c r="I18" s="9" t="s">
        <v>14</v>
      </c>
      <c r="J18" s="9"/>
      <c r="K18" s="9" t="s">
        <v>14</v>
      </c>
      <c r="L18" s="13" t="e">
        <f t="shared" si="0"/>
        <v>#VALUE!</v>
      </c>
      <c r="M18" s="9" t="s">
        <v>14</v>
      </c>
      <c r="N18" s="9" t="s">
        <v>14</v>
      </c>
      <c r="O18" s="9" t="s">
        <v>14</v>
      </c>
      <c r="P18" s="9" t="s">
        <v>14</v>
      </c>
      <c r="Q18" s="9" t="s">
        <v>14</v>
      </c>
      <c r="R18" s="9" t="s">
        <v>14</v>
      </c>
      <c r="S18" s="13" t="s">
        <v>14</v>
      </c>
      <c r="T18" s="9" t="s">
        <v>14</v>
      </c>
      <c r="U18" s="9" t="s">
        <v>29</v>
      </c>
      <c r="V18" s="9" t="s">
        <v>14</v>
      </c>
    </row>
    <row r="19" customFormat="1" ht="24" customHeight="1" spans="1:22">
      <c r="A19" s="2" t="s">
        <v>316</v>
      </c>
      <c r="B19" s="4"/>
      <c r="C19" s="4" t="s">
        <v>128</v>
      </c>
      <c r="D19" s="4" t="s">
        <v>294</v>
      </c>
      <c r="E19" s="4" t="s">
        <v>131</v>
      </c>
      <c r="F19" s="4">
        <v>50</v>
      </c>
      <c r="G19" s="4">
        <v>10</v>
      </c>
      <c r="H19" s="4" t="s">
        <v>130</v>
      </c>
      <c r="I19" s="11"/>
      <c r="J19" s="11"/>
      <c r="K19" s="11"/>
      <c r="L19" s="12"/>
      <c r="M19" s="11"/>
      <c r="N19" s="11"/>
      <c r="O19" s="11"/>
      <c r="P19" s="11"/>
      <c r="Q19" s="11"/>
      <c r="R19" s="11"/>
      <c r="S19" s="12"/>
      <c r="T19" s="11"/>
      <c r="U19" s="4" t="s">
        <v>295</v>
      </c>
      <c r="V19" s="4"/>
    </row>
    <row r="20" s="8" customFormat="1" ht="24" customHeight="1" spans="1:22">
      <c r="A20" s="9" t="s">
        <v>317</v>
      </c>
      <c r="B20" s="9" t="s">
        <v>14</v>
      </c>
      <c r="C20" s="9" t="s">
        <v>297</v>
      </c>
      <c r="D20" s="9" t="s">
        <v>82</v>
      </c>
      <c r="E20" s="9" t="s">
        <v>140</v>
      </c>
      <c r="F20" s="9">
        <v>100</v>
      </c>
      <c r="G20" s="9">
        <v>10</v>
      </c>
      <c r="H20" s="9" t="s">
        <v>139</v>
      </c>
      <c r="I20" s="9" t="s">
        <v>14</v>
      </c>
      <c r="J20" s="9"/>
      <c r="K20" s="9" t="s">
        <v>14</v>
      </c>
      <c r="L20" s="13" t="e">
        <f t="shared" ref="L20:L23" si="1">IF(I20&gt;0,K20/I20,0)</f>
        <v>#VALUE!</v>
      </c>
      <c r="M20" s="9" t="s">
        <v>14</v>
      </c>
      <c r="N20" s="9" t="s">
        <v>14</v>
      </c>
      <c r="O20" s="9" t="s">
        <v>14</v>
      </c>
      <c r="P20" s="9" t="s">
        <v>14</v>
      </c>
      <c r="Q20" s="9" t="s">
        <v>14</v>
      </c>
      <c r="R20" s="9" t="s">
        <v>14</v>
      </c>
      <c r="S20" s="13" t="s">
        <v>14</v>
      </c>
      <c r="T20" s="9" t="s">
        <v>14</v>
      </c>
      <c r="U20" s="9" t="s">
        <v>29</v>
      </c>
      <c r="V20" s="9" t="s">
        <v>14</v>
      </c>
    </row>
    <row r="21" s="8" customFormat="1" ht="24" customHeight="1" spans="1:22">
      <c r="A21" s="9" t="s">
        <v>318</v>
      </c>
      <c r="B21" s="9" t="s">
        <v>14</v>
      </c>
      <c r="C21" s="9" t="s">
        <v>297</v>
      </c>
      <c r="D21" s="9" t="s">
        <v>82</v>
      </c>
      <c r="E21" s="9" t="s">
        <v>146</v>
      </c>
      <c r="F21" s="9">
        <v>300</v>
      </c>
      <c r="G21" s="9">
        <v>10</v>
      </c>
      <c r="H21" s="9" t="s">
        <v>145</v>
      </c>
      <c r="I21" s="9" t="s">
        <v>14</v>
      </c>
      <c r="J21" s="9"/>
      <c r="K21" s="9" t="s">
        <v>14</v>
      </c>
      <c r="L21" s="13" t="e">
        <f t="shared" si="1"/>
        <v>#VALUE!</v>
      </c>
      <c r="M21" s="9" t="s">
        <v>14</v>
      </c>
      <c r="N21" s="9" t="s">
        <v>14</v>
      </c>
      <c r="O21" s="9" t="s">
        <v>14</v>
      </c>
      <c r="P21" s="9" t="s">
        <v>14</v>
      </c>
      <c r="Q21" s="9" t="s">
        <v>14</v>
      </c>
      <c r="R21" s="9" t="s">
        <v>14</v>
      </c>
      <c r="S21" s="13" t="s">
        <v>14</v>
      </c>
      <c r="T21" s="9" t="s">
        <v>14</v>
      </c>
      <c r="U21" s="9" t="s">
        <v>29</v>
      </c>
      <c r="V21" s="9" t="s">
        <v>14</v>
      </c>
    </row>
    <row r="22" s="8" customFormat="1" ht="24" customHeight="1" spans="1:22">
      <c r="A22" s="9" t="s">
        <v>319</v>
      </c>
      <c r="B22" s="9" t="s">
        <v>14</v>
      </c>
      <c r="C22" s="9" t="s">
        <v>297</v>
      </c>
      <c r="D22" s="9" t="s">
        <v>82</v>
      </c>
      <c r="E22" s="9" t="s">
        <v>152</v>
      </c>
      <c r="F22" s="9">
        <v>500</v>
      </c>
      <c r="G22" s="9">
        <v>10</v>
      </c>
      <c r="H22" s="9" t="s">
        <v>151</v>
      </c>
      <c r="I22" s="9" t="s">
        <v>14</v>
      </c>
      <c r="J22" s="9"/>
      <c r="K22" s="9" t="s">
        <v>14</v>
      </c>
      <c r="L22" s="13" t="e">
        <f t="shared" si="1"/>
        <v>#VALUE!</v>
      </c>
      <c r="M22" s="9" t="s">
        <v>14</v>
      </c>
      <c r="N22" s="9" t="s">
        <v>14</v>
      </c>
      <c r="O22" s="9" t="s">
        <v>14</v>
      </c>
      <c r="P22" s="9" t="s">
        <v>14</v>
      </c>
      <c r="Q22" s="9" t="s">
        <v>14</v>
      </c>
      <c r="R22" s="9" t="s">
        <v>14</v>
      </c>
      <c r="S22" s="13" t="s">
        <v>14</v>
      </c>
      <c r="T22" s="9" t="s">
        <v>14</v>
      </c>
      <c r="U22" s="9" t="s">
        <v>29</v>
      </c>
      <c r="V22" s="9" t="s">
        <v>14</v>
      </c>
    </row>
    <row r="23" s="8" customFormat="1" ht="24" customHeight="1" spans="1:22">
      <c r="A23" s="9" t="s">
        <v>320</v>
      </c>
      <c r="B23" s="9" t="s">
        <v>14</v>
      </c>
      <c r="C23" s="9" t="s">
        <v>304</v>
      </c>
      <c r="D23" s="9" t="s">
        <v>82</v>
      </c>
      <c r="E23" s="9" t="s">
        <v>158</v>
      </c>
      <c r="F23" s="9">
        <v>500</v>
      </c>
      <c r="G23" s="9">
        <v>500</v>
      </c>
      <c r="H23" s="9" t="s">
        <v>145</v>
      </c>
      <c r="I23" s="9" t="s">
        <v>14</v>
      </c>
      <c r="J23" s="9"/>
      <c r="K23" s="9" t="s">
        <v>14</v>
      </c>
      <c r="L23" s="13" t="e">
        <f t="shared" si="1"/>
        <v>#VALUE!</v>
      </c>
      <c r="M23" s="9" t="s">
        <v>14</v>
      </c>
      <c r="N23" s="9" t="s">
        <v>14</v>
      </c>
      <c r="O23" s="9" t="s">
        <v>14</v>
      </c>
      <c r="P23" s="9" t="s">
        <v>14</v>
      </c>
      <c r="Q23" s="9" t="s">
        <v>14</v>
      </c>
      <c r="R23" s="9" t="s">
        <v>14</v>
      </c>
      <c r="S23" s="13" t="s">
        <v>14</v>
      </c>
      <c r="T23" s="9" t="s">
        <v>14</v>
      </c>
      <c r="U23" s="9" t="s">
        <v>29</v>
      </c>
      <c r="V23" s="9" t="s">
        <v>14</v>
      </c>
    </row>
    <row r="24" customFormat="1" ht="24" customHeight="1" spans="1:22">
      <c r="A24" s="2" t="s">
        <v>321</v>
      </c>
      <c r="B24" s="4"/>
      <c r="C24" s="4" t="s">
        <v>128</v>
      </c>
      <c r="D24" s="4" t="s">
        <v>294</v>
      </c>
      <c r="E24" s="4" t="s">
        <v>131</v>
      </c>
      <c r="F24" s="4">
        <v>50</v>
      </c>
      <c r="G24" s="4">
        <v>10</v>
      </c>
      <c r="H24" s="4" t="s">
        <v>130</v>
      </c>
      <c r="I24" s="11"/>
      <c r="J24" s="11"/>
      <c r="K24" s="11"/>
      <c r="L24" s="12"/>
      <c r="M24" s="11"/>
      <c r="N24" s="11"/>
      <c r="O24" s="11"/>
      <c r="P24" s="11"/>
      <c r="Q24" s="11"/>
      <c r="R24" s="11"/>
      <c r="S24" s="12"/>
      <c r="T24" s="11"/>
      <c r="U24" s="4" t="s">
        <v>295</v>
      </c>
      <c r="V24" s="4"/>
    </row>
    <row r="25" customFormat="1" ht="24" customHeight="1" spans="1:22">
      <c r="A25" s="4" t="s">
        <v>322</v>
      </c>
      <c r="B25" s="2" t="s">
        <v>14</v>
      </c>
      <c r="C25" s="2" t="s">
        <v>297</v>
      </c>
      <c r="D25" s="2" t="s">
        <v>85</v>
      </c>
      <c r="E25" s="2" t="s">
        <v>140</v>
      </c>
      <c r="F25" s="2">
        <v>100</v>
      </c>
      <c r="G25" s="2">
        <v>10</v>
      </c>
      <c r="H25" s="2" t="s">
        <v>139</v>
      </c>
      <c r="I25" s="2" t="s">
        <v>14</v>
      </c>
      <c r="J25" s="2"/>
      <c r="K25" s="2" t="s">
        <v>14</v>
      </c>
      <c r="L25" s="14" t="e">
        <f t="shared" ref="L25:L28" si="2">IF(I25&gt;0,K25/I25,0)</f>
        <v>#VALUE!</v>
      </c>
      <c r="M25" s="2" t="s">
        <v>14</v>
      </c>
      <c r="N25" s="2" t="s">
        <v>14</v>
      </c>
      <c r="O25" s="2" t="s">
        <v>14</v>
      </c>
      <c r="P25" s="2" t="s">
        <v>14</v>
      </c>
      <c r="Q25" s="2" t="s">
        <v>14</v>
      </c>
      <c r="R25" s="2" t="s">
        <v>14</v>
      </c>
      <c r="S25" s="14" t="s">
        <v>14</v>
      </c>
      <c r="T25" s="2" t="s">
        <v>14</v>
      </c>
      <c r="U25" s="2" t="s">
        <v>29</v>
      </c>
      <c r="V25" s="2" t="s">
        <v>14</v>
      </c>
    </row>
    <row r="26" customFormat="1" ht="24" customHeight="1" spans="1:22">
      <c r="A26" s="2" t="s">
        <v>323</v>
      </c>
      <c r="B26" s="4" t="s">
        <v>14</v>
      </c>
      <c r="C26" s="4" t="s">
        <v>297</v>
      </c>
      <c r="D26" s="2" t="s">
        <v>85</v>
      </c>
      <c r="E26" s="4" t="s">
        <v>146</v>
      </c>
      <c r="F26" s="4">
        <v>300</v>
      </c>
      <c r="G26" s="4">
        <v>10</v>
      </c>
      <c r="H26" s="4" t="s">
        <v>145</v>
      </c>
      <c r="I26" s="4" t="s">
        <v>14</v>
      </c>
      <c r="J26" s="4"/>
      <c r="K26" s="4" t="s">
        <v>14</v>
      </c>
      <c r="L26" s="15" t="e">
        <f t="shared" si="2"/>
        <v>#VALUE!</v>
      </c>
      <c r="M26" s="4" t="s">
        <v>14</v>
      </c>
      <c r="N26" s="4" t="s">
        <v>14</v>
      </c>
      <c r="O26" s="4" t="s">
        <v>14</v>
      </c>
      <c r="P26" s="4" t="s">
        <v>14</v>
      </c>
      <c r="Q26" s="4" t="s">
        <v>14</v>
      </c>
      <c r="R26" s="4" t="s">
        <v>14</v>
      </c>
      <c r="S26" s="15" t="s">
        <v>14</v>
      </c>
      <c r="T26" s="4" t="s">
        <v>14</v>
      </c>
      <c r="U26" s="4" t="s">
        <v>29</v>
      </c>
      <c r="V26" s="4" t="s">
        <v>14</v>
      </c>
    </row>
    <row r="27" customFormat="1" ht="24" customHeight="1" spans="1:22">
      <c r="A27" s="4" t="s">
        <v>324</v>
      </c>
      <c r="B27" s="2" t="s">
        <v>14</v>
      </c>
      <c r="C27" s="2" t="s">
        <v>297</v>
      </c>
      <c r="D27" s="2" t="s">
        <v>85</v>
      </c>
      <c r="E27" s="2" t="s">
        <v>152</v>
      </c>
      <c r="F27" s="2">
        <v>500</v>
      </c>
      <c r="G27" s="2">
        <v>10</v>
      </c>
      <c r="H27" s="2" t="s">
        <v>151</v>
      </c>
      <c r="I27" s="2" t="s">
        <v>14</v>
      </c>
      <c r="J27" s="2"/>
      <c r="K27" s="2" t="s">
        <v>14</v>
      </c>
      <c r="L27" s="14" t="e">
        <f t="shared" si="2"/>
        <v>#VALUE!</v>
      </c>
      <c r="M27" s="2" t="s">
        <v>14</v>
      </c>
      <c r="N27" s="2" t="s">
        <v>14</v>
      </c>
      <c r="O27" s="2" t="s">
        <v>14</v>
      </c>
      <c r="P27" s="2" t="s">
        <v>14</v>
      </c>
      <c r="Q27" s="2" t="s">
        <v>14</v>
      </c>
      <c r="R27" s="2" t="s">
        <v>14</v>
      </c>
      <c r="S27" s="14" t="s">
        <v>14</v>
      </c>
      <c r="T27" s="2" t="s">
        <v>14</v>
      </c>
      <c r="U27" s="2" t="s">
        <v>29</v>
      </c>
      <c r="V27" s="2" t="s">
        <v>14</v>
      </c>
    </row>
    <row r="28" customFormat="1" ht="24" customHeight="1" spans="1:22">
      <c r="A28" s="2" t="s">
        <v>325</v>
      </c>
      <c r="B28" s="4" t="s">
        <v>14</v>
      </c>
      <c r="C28" s="4" t="s">
        <v>304</v>
      </c>
      <c r="D28" s="2" t="s">
        <v>85</v>
      </c>
      <c r="E28" s="4" t="s">
        <v>158</v>
      </c>
      <c r="F28" s="4">
        <v>500</v>
      </c>
      <c r="G28" s="4">
        <v>500</v>
      </c>
      <c r="H28" s="4" t="s">
        <v>145</v>
      </c>
      <c r="I28" s="4" t="s">
        <v>14</v>
      </c>
      <c r="J28" s="4"/>
      <c r="K28" s="4" t="s">
        <v>14</v>
      </c>
      <c r="L28" s="15" t="e">
        <f t="shared" si="2"/>
        <v>#VALUE!</v>
      </c>
      <c r="M28" s="4" t="s">
        <v>14</v>
      </c>
      <c r="N28" s="4" t="s">
        <v>14</v>
      </c>
      <c r="O28" s="4" t="s">
        <v>14</v>
      </c>
      <c r="P28" s="4" t="s">
        <v>14</v>
      </c>
      <c r="Q28" s="4" t="s">
        <v>14</v>
      </c>
      <c r="R28" s="4" t="s">
        <v>14</v>
      </c>
      <c r="S28" s="15" t="s">
        <v>14</v>
      </c>
      <c r="T28" s="4" t="s">
        <v>14</v>
      </c>
      <c r="U28" s="4" t="s">
        <v>29</v>
      </c>
      <c r="V28" s="4" t="s">
        <v>14</v>
      </c>
    </row>
    <row r="29" customFormat="1" ht="24" customHeight="1" spans="1:22">
      <c r="A29" s="2" t="s">
        <v>326</v>
      </c>
      <c r="B29" s="4"/>
      <c r="C29" s="4" t="s">
        <v>128</v>
      </c>
      <c r="D29" s="4" t="s">
        <v>294</v>
      </c>
      <c r="E29" s="4" t="s">
        <v>131</v>
      </c>
      <c r="F29" s="4">
        <v>50</v>
      </c>
      <c r="G29" s="4">
        <v>10</v>
      </c>
      <c r="H29" s="4" t="s">
        <v>130</v>
      </c>
      <c r="I29" s="11"/>
      <c r="J29" s="11"/>
      <c r="K29" s="11"/>
      <c r="L29" s="12"/>
      <c r="M29" s="11"/>
      <c r="N29" s="11"/>
      <c r="O29" s="11"/>
      <c r="P29" s="11"/>
      <c r="Q29" s="11"/>
      <c r="R29" s="11"/>
      <c r="S29" s="12"/>
      <c r="T29" s="11"/>
      <c r="U29" s="4" t="s">
        <v>295</v>
      </c>
      <c r="V29" s="4"/>
    </row>
    <row r="30" customFormat="1" ht="24" customHeight="1" spans="1:22">
      <c r="A30" s="4" t="s">
        <v>327</v>
      </c>
      <c r="B30" s="2" t="s">
        <v>14</v>
      </c>
      <c r="C30" s="2" t="s">
        <v>297</v>
      </c>
      <c r="D30" s="2" t="s">
        <v>88</v>
      </c>
      <c r="E30" s="2" t="s">
        <v>140</v>
      </c>
      <c r="F30" s="2">
        <v>100</v>
      </c>
      <c r="G30" s="2">
        <v>10</v>
      </c>
      <c r="H30" s="2" t="s">
        <v>139</v>
      </c>
      <c r="I30" s="2" t="s">
        <v>14</v>
      </c>
      <c r="J30" s="2"/>
      <c r="K30" s="2" t="s">
        <v>14</v>
      </c>
      <c r="L30" s="14" t="e">
        <f t="shared" ref="L30:L33" si="3">IF(I30&gt;0,K30/I30,0)</f>
        <v>#VALUE!</v>
      </c>
      <c r="M30" s="2" t="s">
        <v>14</v>
      </c>
      <c r="N30" s="2" t="s">
        <v>14</v>
      </c>
      <c r="O30" s="2" t="s">
        <v>14</v>
      </c>
      <c r="P30" s="2" t="s">
        <v>14</v>
      </c>
      <c r="Q30" s="2" t="s">
        <v>14</v>
      </c>
      <c r="R30" s="2" t="s">
        <v>14</v>
      </c>
      <c r="S30" s="14" t="s">
        <v>14</v>
      </c>
      <c r="T30" s="2" t="s">
        <v>14</v>
      </c>
      <c r="U30" s="2" t="s">
        <v>29</v>
      </c>
      <c r="V30" s="2" t="s">
        <v>14</v>
      </c>
    </row>
    <row r="31" customFormat="1" ht="24" customHeight="1" spans="1:22">
      <c r="A31" s="2" t="s">
        <v>328</v>
      </c>
      <c r="B31" s="4" t="s">
        <v>14</v>
      </c>
      <c r="C31" s="4" t="s">
        <v>297</v>
      </c>
      <c r="D31" s="2" t="s">
        <v>88</v>
      </c>
      <c r="E31" s="4" t="s">
        <v>146</v>
      </c>
      <c r="F31" s="4">
        <v>300</v>
      </c>
      <c r="G31" s="4">
        <v>10</v>
      </c>
      <c r="H31" s="4" t="s">
        <v>145</v>
      </c>
      <c r="I31" s="4" t="s">
        <v>14</v>
      </c>
      <c r="J31" s="4"/>
      <c r="K31" s="4" t="s">
        <v>14</v>
      </c>
      <c r="L31" s="15" t="e">
        <f t="shared" si="3"/>
        <v>#VALUE!</v>
      </c>
      <c r="M31" s="4" t="s">
        <v>14</v>
      </c>
      <c r="N31" s="4" t="s">
        <v>14</v>
      </c>
      <c r="O31" s="4" t="s">
        <v>14</v>
      </c>
      <c r="P31" s="4" t="s">
        <v>14</v>
      </c>
      <c r="Q31" s="4" t="s">
        <v>14</v>
      </c>
      <c r="R31" s="4" t="s">
        <v>14</v>
      </c>
      <c r="S31" s="15" t="s">
        <v>14</v>
      </c>
      <c r="T31" s="4" t="s">
        <v>14</v>
      </c>
      <c r="U31" s="4" t="s">
        <v>29</v>
      </c>
      <c r="V31" s="4" t="s">
        <v>14</v>
      </c>
    </row>
    <row r="32" customFormat="1" ht="24" customHeight="1" spans="1:22">
      <c r="A32" s="4" t="s">
        <v>329</v>
      </c>
      <c r="B32" s="2" t="s">
        <v>14</v>
      </c>
      <c r="C32" s="2" t="s">
        <v>297</v>
      </c>
      <c r="D32" s="2" t="s">
        <v>88</v>
      </c>
      <c r="E32" s="2" t="s">
        <v>152</v>
      </c>
      <c r="F32" s="2">
        <v>500</v>
      </c>
      <c r="G32" s="2">
        <v>10</v>
      </c>
      <c r="H32" s="2" t="s">
        <v>151</v>
      </c>
      <c r="I32" s="2" t="s">
        <v>14</v>
      </c>
      <c r="J32" s="2"/>
      <c r="K32" s="2" t="s">
        <v>14</v>
      </c>
      <c r="L32" s="14" t="e">
        <f t="shared" si="3"/>
        <v>#VALUE!</v>
      </c>
      <c r="M32" s="2" t="s">
        <v>14</v>
      </c>
      <c r="N32" s="2" t="s">
        <v>14</v>
      </c>
      <c r="O32" s="2" t="s">
        <v>14</v>
      </c>
      <c r="P32" s="2" t="s">
        <v>14</v>
      </c>
      <c r="Q32" s="2" t="s">
        <v>14</v>
      </c>
      <c r="R32" s="2" t="s">
        <v>14</v>
      </c>
      <c r="S32" s="14" t="s">
        <v>14</v>
      </c>
      <c r="T32" s="2" t="s">
        <v>14</v>
      </c>
      <c r="U32" s="2" t="s">
        <v>29</v>
      </c>
      <c r="V32" s="2" t="s">
        <v>14</v>
      </c>
    </row>
    <row r="33" customFormat="1" ht="24" customHeight="1" spans="1:22">
      <c r="A33" s="2" t="s">
        <v>330</v>
      </c>
      <c r="B33" s="4" t="s">
        <v>14</v>
      </c>
      <c r="C33" s="4" t="s">
        <v>304</v>
      </c>
      <c r="D33" s="2" t="s">
        <v>88</v>
      </c>
      <c r="E33" s="4" t="s">
        <v>158</v>
      </c>
      <c r="F33" s="4">
        <v>500</v>
      </c>
      <c r="G33" s="4">
        <v>500</v>
      </c>
      <c r="H33" s="4" t="s">
        <v>145</v>
      </c>
      <c r="I33" s="4" t="s">
        <v>14</v>
      </c>
      <c r="J33" s="4"/>
      <c r="K33" s="4" t="s">
        <v>14</v>
      </c>
      <c r="L33" s="15" t="e">
        <f t="shared" si="3"/>
        <v>#VALUE!</v>
      </c>
      <c r="M33" s="4" t="s">
        <v>14</v>
      </c>
      <c r="N33" s="4" t="s">
        <v>14</v>
      </c>
      <c r="O33" s="4" t="s">
        <v>14</v>
      </c>
      <c r="P33" s="4" t="s">
        <v>14</v>
      </c>
      <c r="Q33" s="4" t="s">
        <v>14</v>
      </c>
      <c r="R33" s="4" t="s">
        <v>14</v>
      </c>
      <c r="S33" s="15" t="s">
        <v>14</v>
      </c>
      <c r="T33" s="4" t="s">
        <v>14</v>
      </c>
      <c r="U33" s="4" t="s">
        <v>29</v>
      </c>
      <c r="V33" s="4" t="s">
        <v>14</v>
      </c>
    </row>
    <row r="34" customFormat="1" ht="24" customHeight="1" spans="1:22">
      <c r="A34" s="2" t="s">
        <v>331</v>
      </c>
      <c r="B34" s="4"/>
      <c r="C34" s="4" t="s">
        <v>128</v>
      </c>
      <c r="D34" s="4" t="s">
        <v>294</v>
      </c>
      <c r="E34" s="4" t="s">
        <v>131</v>
      </c>
      <c r="F34" s="4">
        <v>50</v>
      </c>
      <c r="G34" s="4">
        <v>10</v>
      </c>
      <c r="H34" s="4" t="s">
        <v>130</v>
      </c>
      <c r="I34" s="11"/>
      <c r="J34" s="11"/>
      <c r="K34" s="11"/>
      <c r="L34" s="12"/>
      <c r="M34" s="11"/>
      <c r="N34" s="11"/>
      <c r="O34" s="11"/>
      <c r="P34" s="11"/>
      <c r="Q34" s="11"/>
      <c r="R34" s="11"/>
      <c r="S34" s="12"/>
      <c r="T34" s="11"/>
      <c r="U34" s="4" t="s">
        <v>295</v>
      </c>
      <c r="V34" s="4"/>
    </row>
    <row r="35" customFormat="1" ht="24" customHeight="1" spans="1:22">
      <c r="A35" s="4" t="s">
        <v>332</v>
      </c>
      <c r="B35" s="2" t="s">
        <v>14</v>
      </c>
      <c r="C35" s="2" t="s">
        <v>297</v>
      </c>
      <c r="D35" s="2" t="s">
        <v>91</v>
      </c>
      <c r="E35" s="2" t="s">
        <v>140</v>
      </c>
      <c r="F35" s="2">
        <v>100</v>
      </c>
      <c r="G35" s="2">
        <v>10</v>
      </c>
      <c r="H35" s="2" t="s">
        <v>139</v>
      </c>
      <c r="I35" s="2" t="s">
        <v>14</v>
      </c>
      <c r="J35" s="2"/>
      <c r="K35" s="2" t="s">
        <v>14</v>
      </c>
      <c r="L35" s="14" t="e">
        <f t="shared" ref="L35:L38" si="4">IF(I35&gt;0,K35/I35,0)</f>
        <v>#VALUE!</v>
      </c>
      <c r="M35" s="2" t="s">
        <v>14</v>
      </c>
      <c r="N35" s="2" t="s">
        <v>14</v>
      </c>
      <c r="O35" s="2" t="s">
        <v>14</v>
      </c>
      <c r="P35" s="2" t="s">
        <v>14</v>
      </c>
      <c r="Q35" s="2" t="s">
        <v>14</v>
      </c>
      <c r="R35" s="2" t="s">
        <v>14</v>
      </c>
      <c r="S35" s="14" t="s">
        <v>14</v>
      </c>
      <c r="T35" s="2" t="s">
        <v>14</v>
      </c>
      <c r="U35" s="2" t="s">
        <v>29</v>
      </c>
      <c r="V35" s="2" t="s">
        <v>14</v>
      </c>
    </row>
    <row r="36" customFormat="1" ht="24" customHeight="1" spans="1:22">
      <c r="A36" s="2" t="s">
        <v>333</v>
      </c>
      <c r="B36" s="4" t="s">
        <v>14</v>
      </c>
      <c r="C36" s="4" t="s">
        <v>297</v>
      </c>
      <c r="D36" s="2" t="s">
        <v>91</v>
      </c>
      <c r="E36" s="4" t="s">
        <v>146</v>
      </c>
      <c r="F36" s="4">
        <v>300</v>
      </c>
      <c r="G36" s="4">
        <v>10</v>
      </c>
      <c r="H36" s="4" t="s">
        <v>145</v>
      </c>
      <c r="I36" s="4" t="s">
        <v>14</v>
      </c>
      <c r="J36" s="4"/>
      <c r="K36" s="4" t="s">
        <v>14</v>
      </c>
      <c r="L36" s="15" t="e">
        <f t="shared" si="4"/>
        <v>#VALUE!</v>
      </c>
      <c r="M36" s="4" t="s">
        <v>14</v>
      </c>
      <c r="N36" s="4" t="s">
        <v>14</v>
      </c>
      <c r="O36" s="4" t="s">
        <v>14</v>
      </c>
      <c r="P36" s="4" t="s">
        <v>14</v>
      </c>
      <c r="Q36" s="4" t="s">
        <v>14</v>
      </c>
      <c r="R36" s="4" t="s">
        <v>14</v>
      </c>
      <c r="S36" s="15" t="s">
        <v>14</v>
      </c>
      <c r="T36" s="4" t="s">
        <v>14</v>
      </c>
      <c r="U36" s="4" t="s">
        <v>29</v>
      </c>
      <c r="V36" s="4" t="s">
        <v>14</v>
      </c>
    </row>
    <row r="37" customFormat="1" ht="24" customHeight="1" spans="1:22">
      <c r="A37" s="4" t="s">
        <v>334</v>
      </c>
      <c r="B37" s="2" t="s">
        <v>14</v>
      </c>
      <c r="C37" s="2" t="s">
        <v>297</v>
      </c>
      <c r="D37" s="2" t="s">
        <v>91</v>
      </c>
      <c r="E37" s="2" t="s">
        <v>152</v>
      </c>
      <c r="F37" s="2">
        <v>500</v>
      </c>
      <c r="G37" s="2">
        <v>10</v>
      </c>
      <c r="H37" s="2" t="s">
        <v>151</v>
      </c>
      <c r="I37" s="2" t="s">
        <v>14</v>
      </c>
      <c r="J37" s="2"/>
      <c r="K37" s="2" t="s">
        <v>14</v>
      </c>
      <c r="L37" s="14" t="e">
        <f t="shared" si="4"/>
        <v>#VALUE!</v>
      </c>
      <c r="M37" s="2" t="s">
        <v>14</v>
      </c>
      <c r="N37" s="2" t="s">
        <v>14</v>
      </c>
      <c r="O37" s="2" t="s">
        <v>14</v>
      </c>
      <c r="P37" s="2" t="s">
        <v>14</v>
      </c>
      <c r="Q37" s="2" t="s">
        <v>14</v>
      </c>
      <c r="R37" s="2" t="s">
        <v>14</v>
      </c>
      <c r="S37" s="14" t="s">
        <v>14</v>
      </c>
      <c r="T37" s="2" t="s">
        <v>14</v>
      </c>
      <c r="U37" s="2" t="s">
        <v>29</v>
      </c>
      <c r="V37" s="2" t="s">
        <v>14</v>
      </c>
    </row>
    <row r="38" customFormat="1" ht="24" customHeight="1" spans="1:22">
      <c r="A38" s="2" t="s">
        <v>335</v>
      </c>
      <c r="B38" s="4" t="s">
        <v>14</v>
      </c>
      <c r="C38" s="4" t="s">
        <v>304</v>
      </c>
      <c r="D38" s="2" t="s">
        <v>91</v>
      </c>
      <c r="E38" s="4" t="s">
        <v>158</v>
      </c>
      <c r="F38" s="4">
        <v>500</v>
      </c>
      <c r="G38" s="4">
        <v>500</v>
      </c>
      <c r="H38" s="4" t="s">
        <v>145</v>
      </c>
      <c r="I38" s="4" t="s">
        <v>14</v>
      </c>
      <c r="J38" s="4"/>
      <c r="K38" s="4" t="s">
        <v>14</v>
      </c>
      <c r="L38" s="15" t="e">
        <f t="shared" si="4"/>
        <v>#VALUE!</v>
      </c>
      <c r="M38" s="4" t="s">
        <v>14</v>
      </c>
      <c r="N38" s="4" t="s">
        <v>14</v>
      </c>
      <c r="O38" s="4" t="s">
        <v>14</v>
      </c>
      <c r="P38" s="4" t="s">
        <v>14</v>
      </c>
      <c r="Q38" s="4" t="s">
        <v>14</v>
      </c>
      <c r="R38" s="4" t="s">
        <v>14</v>
      </c>
      <c r="S38" s="15" t="s">
        <v>14</v>
      </c>
      <c r="T38" s="4" t="s">
        <v>14</v>
      </c>
      <c r="U38" s="4" t="s">
        <v>29</v>
      </c>
      <c r="V38" s="4" t="s">
        <v>14</v>
      </c>
    </row>
    <row r="39" customFormat="1" ht="24" customHeight="1" spans="1:22">
      <c r="A39" s="2" t="s">
        <v>336</v>
      </c>
      <c r="B39" s="4"/>
      <c r="C39" s="4" t="s">
        <v>128</v>
      </c>
      <c r="D39" s="4" t="s">
        <v>294</v>
      </c>
      <c r="E39" s="4" t="s">
        <v>131</v>
      </c>
      <c r="F39" s="4">
        <v>50</v>
      </c>
      <c r="G39" s="4">
        <v>10</v>
      </c>
      <c r="H39" s="4" t="s">
        <v>130</v>
      </c>
      <c r="I39" s="11"/>
      <c r="J39" s="11"/>
      <c r="K39" s="11"/>
      <c r="L39" s="12"/>
      <c r="M39" s="11"/>
      <c r="N39" s="11"/>
      <c r="O39" s="11"/>
      <c r="P39" s="11"/>
      <c r="Q39" s="11"/>
      <c r="R39" s="11"/>
      <c r="S39" s="12"/>
      <c r="T39" s="11"/>
      <c r="U39" s="4" t="s">
        <v>295</v>
      </c>
      <c r="V39" s="4"/>
    </row>
    <row r="40" customFormat="1" ht="24" customHeight="1" spans="1:22">
      <c r="A40" s="4" t="s">
        <v>337</v>
      </c>
      <c r="B40" s="2" t="s">
        <v>14</v>
      </c>
      <c r="C40" s="2" t="s">
        <v>297</v>
      </c>
      <c r="D40" s="2" t="s">
        <v>338</v>
      </c>
      <c r="E40" s="2" t="s">
        <v>140</v>
      </c>
      <c r="F40" s="2">
        <v>100</v>
      </c>
      <c r="G40" s="2">
        <v>10</v>
      </c>
      <c r="H40" s="2" t="s">
        <v>139</v>
      </c>
      <c r="I40" s="2" t="s">
        <v>14</v>
      </c>
      <c r="J40" s="2"/>
      <c r="K40" s="2" t="s">
        <v>14</v>
      </c>
      <c r="L40" s="14" t="e">
        <f t="shared" ref="L40:L43" si="5">IF(I40&gt;0,K40/I40,0)</f>
        <v>#VALUE!</v>
      </c>
      <c r="M40" s="2" t="s">
        <v>14</v>
      </c>
      <c r="N40" s="2" t="s">
        <v>14</v>
      </c>
      <c r="O40" s="2" t="s">
        <v>14</v>
      </c>
      <c r="P40" s="2" t="s">
        <v>14</v>
      </c>
      <c r="Q40" s="2" t="s">
        <v>14</v>
      </c>
      <c r="R40" s="2" t="s">
        <v>14</v>
      </c>
      <c r="S40" s="14" t="s">
        <v>14</v>
      </c>
      <c r="T40" s="2" t="s">
        <v>14</v>
      </c>
      <c r="U40" s="2" t="s">
        <v>29</v>
      </c>
      <c r="V40" s="2" t="s">
        <v>14</v>
      </c>
    </row>
    <row r="41" customFormat="1" ht="24" customHeight="1" spans="1:22">
      <c r="A41" s="2" t="s">
        <v>339</v>
      </c>
      <c r="B41" s="4" t="s">
        <v>14</v>
      </c>
      <c r="C41" s="4" t="s">
        <v>297</v>
      </c>
      <c r="D41" s="2" t="s">
        <v>338</v>
      </c>
      <c r="E41" s="4" t="s">
        <v>146</v>
      </c>
      <c r="F41" s="4">
        <v>300</v>
      </c>
      <c r="G41" s="4">
        <v>10</v>
      </c>
      <c r="H41" s="4" t="s">
        <v>145</v>
      </c>
      <c r="I41" s="4" t="s">
        <v>14</v>
      </c>
      <c r="J41" s="4"/>
      <c r="K41" s="4" t="s">
        <v>14</v>
      </c>
      <c r="L41" s="15" t="e">
        <f t="shared" si="5"/>
        <v>#VALUE!</v>
      </c>
      <c r="M41" s="4" t="s">
        <v>14</v>
      </c>
      <c r="N41" s="4" t="s">
        <v>14</v>
      </c>
      <c r="O41" s="4" t="s">
        <v>14</v>
      </c>
      <c r="P41" s="4" t="s">
        <v>14</v>
      </c>
      <c r="Q41" s="4" t="s">
        <v>14</v>
      </c>
      <c r="R41" s="4" t="s">
        <v>14</v>
      </c>
      <c r="S41" s="15" t="s">
        <v>14</v>
      </c>
      <c r="T41" s="4" t="s">
        <v>14</v>
      </c>
      <c r="U41" s="4" t="s">
        <v>29</v>
      </c>
      <c r="V41" s="4" t="s">
        <v>14</v>
      </c>
    </row>
    <row r="42" customFormat="1" ht="24" customHeight="1" spans="1:22">
      <c r="A42" s="4" t="s">
        <v>340</v>
      </c>
      <c r="B42" s="2" t="s">
        <v>14</v>
      </c>
      <c r="C42" s="2" t="s">
        <v>297</v>
      </c>
      <c r="D42" s="2" t="s">
        <v>338</v>
      </c>
      <c r="E42" s="2" t="s">
        <v>152</v>
      </c>
      <c r="F42" s="2">
        <v>500</v>
      </c>
      <c r="G42" s="2">
        <v>10</v>
      </c>
      <c r="H42" s="2" t="s">
        <v>151</v>
      </c>
      <c r="I42" s="2" t="s">
        <v>14</v>
      </c>
      <c r="J42" s="2"/>
      <c r="K42" s="2" t="s">
        <v>14</v>
      </c>
      <c r="L42" s="14" t="e">
        <f t="shared" si="5"/>
        <v>#VALUE!</v>
      </c>
      <c r="M42" s="2" t="s">
        <v>14</v>
      </c>
      <c r="N42" s="2" t="s">
        <v>14</v>
      </c>
      <c r="O42" s="2" t="s">
        <v>14</v>
      </c>
      <c r="P42" s="2" t="s">
        <v>14</v>
      </c>
      <c r="Q42" s="2" t="s">
        <v>14</v>
      </c>
      <c r="R42" s="2" t="s">
        <v>14</v>
      </c>
      <c r="S42" s="14" t="s">
        <v>14</v>
      </c>
      <c r="T42" s="2" t="s">
        <v>14</v>
      </c>
      <c r="U42" s="2" t="s">
        <v>29</v>
      </c>
      <c r="V42" s="2" t="s">
        <v>14</v>
      </c>
    </row>
    <row r="43" customFormat="1" ht="24" customHeight="1" spans="1:22">
      <c r="A43" s="2" t="s">
        <v>341</v>
      </c>
      <c r="B43" s="4" t="s">
        <v>14</v>
      </c>
      <c r="C43" s="4" t="s">
        <v>304</v>
      </c>
      <c r="D43" s="2" t="s">
        <v>338</v>
      </c>
      <c r="E43" s="4" t="s">
        <v>158</v>
      </c>
      <c r="F43" s="4">
        <v>500</v>
      </c>
      <c r="G43" s="4">
        <v>500</v>
      </c>
      <c r="H43" s="4" t="s">
        <v>145</v>
      </c>
      <c r="I43" s="4" t="s">
        <v>14</v>
      </c>
      <c r="J43" s="4"/>
      <c r="K43" s="4" t="s">
        <v>14</v>
      </c>
      <c r="L43" s="15" t="e">
        <f t="shared" si="5"/>
        <v>#VALUE!</v>
      </c>
      <c r="M43" s="4" t="s">
        <v>14</v>
      </c>
      <c r="N43" s="4" t="s">
        <v>14</v>
      </c>
      <c r="O43" s="4" t="s">
        <v>14</v>
      </c>
      <c r="P43" s="4" t="s">
        <v>14</v>
      </c>
      <c r="Q43" s="4" t="s">
        <v>14</v>
      </c>
      <c r="R43" s="4" t="s">
        <v>14</v>
      </c>
      <c r="S43" s="15" t="s">
        <v>14</v>
      </c>
      <c r="T43" s="4" t="s">
        <v>14</v>
      </c>
      <c r="U43" s="4" t="s">
        <v>29</v>
      </c>
      <c r="V43" s="4" t="s">
        <v>14</v>
      </c>
    </row>
    <row r="44" customFormat="1" ht="24" customHeight="1" spans="1:22">
      <c r="A44" s="2" t="s">
        <v>342</v>
      </c>
      <c r="B44" s="4"/>
      <c r="C44" s="4" t="s">
        <v>128</v>
      </c>
      <c r="D44" s="4" t="s">
        <v>294</v>
      </c>
      <c r="E44" s="4" t="s">
        <v>131</v>
      </c>
      <c r="F44" s="4">
        <v>50</v>
      </c>
      <c r="G44" s="4">
        <v>10</v>
      </c>
      <c r="H44" s="4" t="s">
        <v>130</v>
      </c>
      <c r="I44" s="11"/>
      <c r="J44" s="11"/>
      <c r="K44" s="11"/>
      <c r="L44" s="12"/>
      <c r="M44" s="11"/>
      <c r="N44" s="11"/>
      <c r="O44" s="11"/>
      <c r="P44" s="11"/>
      <c r="Q44" s="11"/>
      <c r="R44" s="11"/>
      <c r="S44" s="12"/>
      <c r="T44" s="11"/>
      <c r="U44" s="4" t="s">
        <v>295</v>
      </c>
      <c r="V44" s="4"/>
    </row>
    <row r="45" customFormat="1" ht="24" customHeight="1" spans="1:22">
      <c r="A45" s="4" t="s">
        <v>343</v>
      </c>
      <c r="B45" s="2" t="s">
        <v>14</v>
      </c>
      <c r="C45" s="2" t="s">
        <v>297</v>
      </c>
      <c r="D45" s="2" t="s">
        <v>98</v>
      </c>
      <c r="E45" s="2" t="s">
        <v>140</v>
      </c>
      <c r="F45" s="2">
        <v>100</v>
      </c>
      <c r="G45" s="2">
        <v>10</v>
      </c>
      <c r="H45" s="2" t="s">
        <v>139</v>
      </c>
      <c r="I45" s="2" t="s">
        <v>14</v>
      </c>
      <c r="J45" s="2"/>
      <c r="K45" s="2" t="s">
        <v>14</v>
      </c>
      <c r="L45" s="14" t="e">
        <f t="shared" ref="L45:L48" si="6">IF(I45&gt;0,K45/I45,0)</f>
        <v>#VALUE!</v>
      </c>
      <c r="M45" s="2" t="s">
        <v>14</v>
      </c>
      <c r="N45" s="2" t="s">
        <v>14</v>
      </c>
      <c r="O45" s="2" t="s">
        <v>14</v>
      </c>
      <c r="P45" s="2" t="s">
        <v>14</v>
      </c>
      <c r="Q45" s="2" t="s">
        <v>14</v>
      </c>
      <c r="R45" s="2" t="s">
        <v>14</v>
      </c>
      <c r="S45" s="14" t="s">
        <v>14</v>
      </c>
      <c r="T45" s="2" t="s">
        <v>14</v>
      </c>
      <c r="U45" s="2" t="s">
        <v>29</v>
      </c>
      <c r="V45" s="2" t="s">
        <v>14</v>
      </c>
    </row>
    <row r="46" customFormat="1" ht="24" customHeight="1" spans="1:22">
      <c r="A46" s="2" t="s">
        <v>344</v>
      </c>
      <c r="B46" s="4" t="s">
        <v>14</v>
      </c>
      <c r="C46" s="4" t="s">
        <v>297</v>
      </c>
      <c r="D46" s="2" t="s">
        <v>98</v>
      </c>
      <c r="E46" s="4" t="s">
        <v>146</v>
      </c>
      <c r="F46" s="4">
        <v>300</v>
      </c>
      <c r="G46" s="4">
        <v>10</v>
      </c>
      <c r="H46" s="4" t="s">
        <v>145</v>
      </c>
      <c r="I46" s="4" t="s">
        <v>14</v>
      </c>
      <c r="J46" s="4"/>
      <c r="K46" s="4" t="s">
        <v>14</v>
      </c>
      <c r="L46" s="15" t="e">
        <f t="shared" si="6"/>
        <v>#VALUE!</v>
      </c>
      <c r="M46" s="4" t="s">
        <v>14</v>
      </c>
      <c r="N46" s="4" t="s">
        <v>14</v>
      </c>
      <c r="O46" s="4" t="s">
        <v>14</v>
      </c>
      <c r="P46" s="4" t="s">
        <v>14</v>
      </c>
      <c r="Q46" s="4" t="s">
        <v>14</v>
      </c>
      <c r="R46" s="4" t="s">
        <v>14</v>
      </c>
      <c r="S46" s="15" t="s">
        <v>14</v>
      </c>
      <c r="T46" s="4" t="s">
        <v>14</v>
      </c>
      <c r="U46" s="4" t="s">
        <v>29</v>
      </c>
      <c r="V46" s="4" t="s">
        <v>14</v>
      </c>
    </row>
    <row r="47" customFormat="1" ht="24" customHeight="1" spans="1:22">
      <c r="A47" s="4" t="s">
        <v>345</v>
      </c>
      <c r="B47" s="2" t="s">
        <v>14</v>
      </c>
      <c r="C47" s="2" t="s">
        <v>297</v>
      </c>
      <c r="D47" s="2" t="s">
        <v>98</v>
      </c>
      <c r="E47" s="2" t="s">
        <v>152</v>
      </c>
      <c r="F47" s="2">
        <v>500</v>
      </c>
      <c r="G47" s="2">
        <v>10</v>
      </c>
      <c r="H47" s="2" t="s">
        <v>151</v>
      </c>
      <c r="I47" s="2" t="s">
        <v>14</v>
      </c>
      <c r="J47" s="2"/>
      <c r="K47" s="2" t="s">
        <v>14</v>
      </c>
      <c r="L47" s="14" t="e">
        <f t="shared" si="6"/>
        <v>#VALUE!</v>
      </c>
      <c r="M47" s="2" t="s">
        <v>14</v>
      </c>
      <c r="N47" s="2" t="s">
        <v>14</v>
      </c>
      <c r="O47" s="2" t="s">
        <v>14</v>
      </c>
      <c r="P47" s="2" t="s">
        <v>14</v>
      </c>
      <c r="Q47" s="2" t="s">
        <v>14</v>
      </c>
      <c r="R47" s="2" t="s">
        <v>14</v>
      </c>
      <c r="S47" s="14" t="s">
        <v>14</v>
      </c>
      <c r="T47" s="2" t="s">
        <v>14</v>
      </c>
      <c r="U47" s="2" t="s">
        <v>29</v>
      </c>
      <c r="V47" s="2" t="s">
        <v>14</v>
      </c>
    </row>
    <row r="48" customFormat="1" ht="24" customHeight="1" spans="1:22">
      <c r="A48" s="2" t="s">
        <v>346</v>
      </c>
      <c r="B48" s="4" t="s">
        <v>14</v>
      </c>
      <c r="C48" s="4" t="s">
        <v>304</v>
      </c>
      <c r="D48" s="2" t="s">
        <v>98</v>
      </c>
      <c r="E48" s="4" t="s">
        <v>158</v>
      </c>
      <c r="F48" s="4">
        <v>500</v>
      </c>
      <c r="G48" s="4">
        <v>500</v>
      </c>
      <c r="H48" s="4" t="s">
        <v>145</v>
      </c>
      <c r="I48" s="4" t="s">
        <v>14</v>
      </c>
      <c r="J48" s="4"/>
      <c r="K48" s="4" t="s">
        <v>14</v>
      </c>
      <c r="L48" s="15" t="e">
        <f t="shared" si="6"/>
        <v>#VALUE!</v>
      </c>
      <c r="M48" s="4" t="s">
        <v>14</v>
      </c>
      <c r="N48" s="4" t="s">
        <v>14</v>
      </c>
      <c r="O48" s="4" t="s">
        <v>14</v>
      </c>
      <c r="P48" s="4" t="s">
        <v>14</v>
      </c>
      <c r="Q48" s="4" t="s">
        <v>14</v>
      </c>
      <c r="R48" s="4" t="s">
        <v>14</v>
      </c>
      <c r="S48" s="15" t="s">
        <v>14</v>
      </c>
      <c r="T48" s="4" t="s">
        <v>14</v>
      </c>
      <c r="U48" s="4" t="s">
        <v>29</v>
      </c>
      <c r="V48" s="4" t="s">
        <v>14</v>
      </c>
    </row>
    <row r="49" customFormat="1" ht="24" customHeight="1" spans="1:22">
      <c r="A49" s="2" t="s">
        <v>347</v>
      </c>
      <c r="B49" s="4"/>
      <c r="C49" s="4" t="s">
        <v>128</v>
      </c>
      <c r="D49" s="4" t="s">
        <v>294</v>
      </c>
      <c r="E49" s="4" t="s">
        <v>131</v>
      </c>
      <c r="F49" s="4">
        <v>50</v>
      </c>
      <c r="G49" s="4">
        <v>10</v>
      </c>
      <c r="H49" s="4" t="s">
        <v>130</v>
      </c>
      <c r="I49" s="11"/>
      <c r="J49" s="11"/>
      <c r="K49" s="11"/>
      <c r="L49" s="12"/>
      <c r="M49" s="11"/>
      <c r="N49" s="11"/>
      <c r="O49" s="11"/>
      <c r="P49" s="11"/>
      <c r="Q49" s="11"/>
      <c r="R49" s="11"/>
      <c r="S49" s="12"/>
      <c r="T49" s="11"/>
      <c r="U49" s="4" t="s">
        <v>295</v>
      </c>
      <c r="V49" s="4"/>
    </row>
    <row r="50" s="8" customFormat="1" ht="24" customHeight="1" spans="1:22">
      <c r="A50" s="9" t="s">
        <v>348</v>
      </c>
      <c r="B50" s="9" t="s">
        <v>14</v>
      </c>
      <c r="C50" s="9" t="s">
        <v>297</v>
      </c>
      <c r="D50" s="9" t="s">
        <v>101</v>
      </c>
      <c r="E50" s="9" t="s">
        <v>140</v>
      </c>
      <c r="F50" s="9">
        <v>100</v>
      </c>
      <c r="G50" s="9">
        <v>10</v>
      </c>
      <c r="H50" s="9" t="s">
        <v>139</v>
      </c>
      <c r="I50" s="9" t="s">
        <v>14</v>
      </c>
      <c r="J50" s="9"/>
      <c r="K50" s="9" t="s">
        <v>14</v>
      </c>
      <c r="L50" s="13" t="e">
        <f t="shared" ref="L50:L53" si="7">IF(I50&gt;0,K50/I50,0)</f>
        <v>#VALUE!</v>
      </c>
      <c r="M50" s="9" t="s">
        <v>14</v>
      </c>
      <c r="N50" s="9" t="s">
        <v>14</v>
      </c>
      <c r="O50" s="9" t="s">
        <v>14</v>
      </c>
      <c r="P50" s="9" t="s">
        <v>14</v>
      </c>
      <c r="Q50" s="9" t="s">
        <v>14</v>
      </c>
      <c r="R50" s="9" t="s">
        <v>14</v>
      </c>
      <c r="S50" s="13" t="s">
        <v>14</v>
      </c>
      <c r="T50" s="9" t="s">
        <v>14</v>
      </c>
      <c r="U50" s="9" t="s">
        <v>29</v>
      </c>
      <c r="V50" s="9" t="s">
        <v>14</v>
      </c>
    </row>
    <row r="51" s="8" customFormat="1" ht="24" customHeight="1" spans="1:22">
      <c r="A51" s="9" t="s">
        <v>349</v>
      </c>
      <c r="B51" s="9" t="s">
        <v>14</v>
      </c>
      <c r="C51" s="9" t="s">
        <v>297</v>
      </c>
      <c r="D51" s="9" t="s">
        <v>101</v>
      </c>
      <c r="E51" s="9" t="s">
        <v>146</v>
      </c>
      <c r="F51" s="9">
        <v>300</v>
      </c>
      <c r="G51" s="9">
        <v>10</v>
      </c>
      <c r="H51" s="9" t="s">
        <v>145</v>
      </c>
      <c r="I51" s="9" t="s">
        <v>14</v>
      </c>
      <c r="J51" s="9"/>
      <c r="K51" s="9" t="s">
        <v>14</v>
      </c>
      <c r="L51" s="13" t="e">
        <f t="shared" si="7"/>
        <v>#VALUE!</v>
      </c>
      <c r="M51" s="9" t="s">
        <v>14</v>
      </c>
      <c r="N51" s="9" t="s">
        <v>14</v>
      </c>
      <c r="O51" s="9" t="s">
        <v>14</v>
      </c>
      <c r="P51" s="9" t="s">
        <v>14</v>
      </c>
      <c r="Q51" s="9" t="s">
        <v>14</v>
      </c>
      <c r="R51" s="9" t="s">
        <v>14</v>
      </c>
      <c r="S51" s="13" t="s">
        <v>14</v>
      </c>
      <c r="T51" s="9" t="s">
        <v>14</v>
      </c>
      <c r="U51" s="9" t="s">
        <v>29</v>
      </c>
      <c r="V51" s="9" t="s">
        <v>14</v>
      </c>
    </row>
    <row r="52" s="8" customFormat="1" ht="24" customHeight="1" spans="1:22">
      <c r="A52" s="9" t="s">
        <v>350</v>
      </c>
      <c r="B52" s="9" t="s">
        <v>14</v>
      </c>
      <c r="C52" s="9" t="s">
        <v>297</v>
      </c>
      <c r="D52" s="9" t="s">
        <v>101</v>
      </c>
      <c r="E52" s="9" t="s">
        <v>152</v>
      </c>
      <c r="F52" s="9">
        <v>500</v>
      </c>
      <c r="G52" s="9">
        <v>10</v>
      </c>
      <c r="H52" s="9" t="s">
        <v>151</v>
      </c>
      <c r="I52" s="9" t="s">
        <v>14</v>
      </c>
      <c r="J52" s="9"/>
      <c r="K52" s="9" t="s">
        <v>14</v>
      </c>
      <c r="L52" s="13" t="e">
        <f t="shared" si="7"/>
        <v>#VALUE!</v>
      </c>
      <c r="M52" s="9" t="s">
        <v>14</v>
      </c>
      <c r="N52" s="9" t="s">
        <v>14</v>
      </c>
      <c r="O52" s="9" t="s">
        <v>14</v>
      </c>
      <c r="P52" s="9" t="s">
        <v>14</v>
      </c>
      <c r="Q52" s="9" t="s">
        <v>14</v>
      </c>
      <c r="R52" s="9" t="s">
        <v>14</v>
      </c>
      <c r="S52" s="13" t="s">
        <v>14</v>
      </c>
      <c r="T52" s="9" t="s">
        <v>14</v>
      </c>
      <c r="U52" s="9" t="s">
        <v>29</v>
      </c>
      <c r="V52" s="9" t="s">
        <v>14</v>
      </c>
    </row>
    <row r="53" s="8" customFormat="1" ht="24" customHeight="1" spans="1:22">
      <c r="A53" s="9" t="s">
        <v>351</v>
      </c>
      <c r="B53" s="9" t="s">
        <v>14</v>
      </c>
      <c r="C53" s="9" t="s">
        <v>304</v>
      </c>
      <c r="D53" s="9" t="s">
        <v>101</v>
      </c>
      <c r="E53" s="9" t="s">
        <v>158</v>
      </c>
      <c r="F53" s="9">
        <v>500</v>
      </c>
      <c r="G53" s="9">
        <v>500</v>
      </c>
      <c r="H53" s="9" t="s">
        <v>145</v>
      </c>
      <c r="I53" s="9" t="s">
        <v>14</v>
      </c>
      <c r="J53" s="9"/>
      <c r="K53" s="9" t="s">
        <v>14</v>
      </c>
      <c r="L53" s="13" t="e">
        <f t="shared" si="7"/>
        <v>#VALUE!</v>
      </c>
      <c r="M53" s="9" t="s">
        <v>14</v>
      </c>
      <c r="N53" s="9" t="s">
        <v>14</v>
      </c>
      <c r="O53" s="9" t="s">
        <v>14</v>
      </c>
      <c r="P53" s="9" t="s">
        <v>14</v>
      </c>
      <c r="Q53" s="9" t="s">
        <v>14</v>
      </c>
      <c r="R53" s="9" t="s">
        <v>14</v>
      </c>
      <c r="S53" s="13" t="s">
        <v>14</v>
      </c>
      <c r="T53" s="9" t="s">
        <v>14</v>
      </c>
      <c r="U53" s="9" t="s">
        <v>29</v>
      </c>
      <c r="V53" s="9" t="s">
        <v>14</v>
      </c>
    </row>
    <row r="54" customFormat="1" ht="24" customHeight="1" spans="1:22">
      <c r="A54" s="2" t="s">
        <v>352</v>
      </c>
      <c r="B54" s="4"/>
      <c r="C54" s="4" t="s">
        <v>128</v>
      </c>
      <c r="D54" s="4" t="s">
        <v>163</v>
      </c>
      <c r="E54" s="4" t="s">
        <v>131</v>
      </c>
      <c r="F54" s="4">
        <v>50</v>
      </c>
      <c r="G54" s="4">
        <v>10</v>
      </c>
      <c r="H54" s="4" t="s">
        <v>130</v>
      </c>
      <c r="I54" s="11"/>
      <c r="J54" s="11"/>
      <c r="K54" s="11"/>
      <c r="L54" s="12"/>
      <c r="M54" s="11"/>
      <c r="N54" s="11"/>
      <c r="O54" s="11"/>
      <c r="P54" s="11"/>
      <c r="Q54" s="11"/>
      <c r="R54" s="11"/>
      <c r="S54" s="12"/>
      <c r="T54" s="11"/>
      <c r="U54" s="4" t="s">
        <v>295</v>
      </c>
      <c r="V54" s="4"/>
    </row>
    <row r="55" s="8" customFormat="1" ht="24" customHeight="1" spans="1:22">
      <c r="A55" s="9" t="s">
        <v>353</v>
      </c>
      <c r="B55" s="9" t="s">
        <v>14</v>
      </c>
      <c r="C55" s="9" t="s">
        <v>354</v>
      </c>
      <c r="D55" s="9" t="s">
        <v>355</v>
      </c>
      <c r="E55" s="9" t="s">
        <v>140</v>
      </c>
      <c r="F55" s="9">
        <v>100</v>
      </c>
      <c r="G55" s="9">
        <v>10</v>
      </c>
      <c r="H55" s="9" t="s">
        <v>139</v>
      </c>
      <c r="I55" s="9" t="s">
        <v>14</v>
      </c>
      <c r="J55" s="16"/>
      <c r="K55" s="9" t="s">
        <v>14</v>
      </c>
      <c r="L55" s="13" t="e">
        <f t="shared" ref="L55:L58" si="8">IF(I55&gt;0,K55/I55,0)</f>
        <v>#VALUE!</v>
      </c>
      <c r="M55" s="9" t="s">
        <v>14</v>
      </c>
      <c r="N55" s="9" t="s">
        <v>14</v>
      </c>
      <c r="O55" s="9" t="s">
        <v>14</v>
      </c>
      <c r="P55" s="9" t="s">
        <v>14</v>
      </c>
      <c r="Q55" s="9" t="s">
        <v>14</v>
      </c>
      <c r="R55" s="9" t="s">
        <v>14</v>
      </c>
      <c r="S55" s="13" t="s">
        <v>14</v>
      </c>
      <c r="T55" s="9" t="s">
        <v>14</v>
      </c>
      <c r="U55" s="9" t="s">
        <v>29</v>
      </c>
      <c r="V55" s="9" t="s">
        <v>14</v>
      </c>
    </row>
    <row r="56" s="8" customFormat="1" ht="24" customHeight="1" spans="1:22">
      <c r="A56" s="9" t="s">
        <v>356</v>
      </c>
      <c r="B56" s="9"/>
      <c r="C56" s="9" t="s">
        <v>354</v>
      </c>
      <c r="D56" s="9" t="s">
        <v>355</v>
      </c>
      <c r="E56" s="9" t="s">
        <v>146</v>
      </c>
      <c r="F56" s="9">
        <v>300</v>
      </c>
      <c r="G56" s="9">
        <v>10</v>
      </c>
      <c r="H56" s="9" t="s">
        <v>145</v>
      </c>
      <c r="I56" s="9" t="s">
        <v>14</v>
      </c>
      <c r="J56" s="16"/>
      <c r="K56" s="9" t="s">
        <v>14</v>
      </c>
      <c r="L56" s="13" t="e">
        <f t="shared" si="8"/>
        <v>#VALUE!</v>
      </c>
      <c r="M56" s="9" t="s">
        <v>14</v>
      </c>
      <c r="N56" s="9" t="s">
        <v>14</v>
      </c>
      <c r="O56" s="9" t="s">
        <v>14</v>
      </c>
      <c r="P56" s="9" t="s">
        <v>14</v>
      </c>
      <c r="Q56" s="9" t="s">
        <v>14</v>
      </c>
      <c r="R56" s="9" t="s">
        <v>14</v>
      </c>
      <c r="S56" s="13" t="s">
        <v>14</v>
      </c>
      <c r="T56" s="9" t="s">
        <v>14</v>
      </c>
      <c r="U56" s="9" t="s">
        <v>29</v>
      </c>
      <c r="V56" s="9" t="s">
        <v>14</v>
      </c>
    </row>
    <row r="57" s="8" customFormat="1" ht="24" customHeight="1" spans="1:22">
      <c r="A57" s="9" t="s">
        <v>357</v>
      </c>
      <c r="B57" s="9" t="s">
        <v>14</v>
      </c>
      <c r="C57" s="9" t="s">
        <v>354</v>
      </c>
      <c r="D57" s="9" t="s">
        <v>355</v>
      </c>
      <c r="E57" s="9" t="s">
        <v>152</v>
      </c>
      <c r="F57" s="9">
        <v>500</v>
      </c>
      <c r="G57" s="9">
        <v>10</v>
      </c>
      <c r="H57" s="9" t="s">
        <v>151</v>
      </c>
      <c r="I57" s="9" t="s">
        <v>14</v>
      </c>
      <c r="J57" s="16"/>
      <c r="K57" s="9" t="s">
        <v>14</v>
      </c>
      <c r="L57" s="13" t="e">
        <f t="shared" si="8"/>
        <v>#VALUE!</v>
      </c>
      <c r="M57" s="9" t="s">
        <v>14</v>
      </c>
      <c r="N57" s="9" t="s">
        <v>14</v>
      </c>
      <c r="O57" s="9" t="s">
        <v>14</v>
      </c>
      <c r="P57" s="9" t="s">
        <v>14</v>
      </c>
      <c r="Q57" s="9" t="s">
        <v>14</v>
      </c>
      <c r="R57" s="9" t="s">
        <v>14</v>
      </c>
      <c r="S57" s="13" t="s">
        <v>14</v>
      </c>
      <c r="T57" s="9" t="s">
        <v>14</v>
      </c>
      <c r="U57" s="9" t="s">
        <v>29</v>
      </c>
      <c r="V57" s="9" t="s">
        <v>14</v>
      </c>
    </row>
    <row r="58" s="8" customFormat="1" ht="24" customHeight="1" spans="1:22">
      <c r="A58" s="9" t="s">
        <v>358</v>
      </c>
      <c r="B58" s="9" t="s">
        <v>14</v>
      </c>
      <c r="C58" s="9" t="s">
        <v>359</v>
      </c>
      <c r="D58" s="9" t="s">
        <v>355</v>
      </c>
      <c r="E58" s="9" t="s">
        <v>158</v>
      </c>
      <c r="F58" s="9">
        <v>500</v>
      </c>
      <c r="G58" s="9">
        <v>500</v>
      </c>
      <c r="H58" s="9" t="s">
        <v>145</v>
      </c>
      <c r="I58" s="9" t="s">
        <v>14</v>
      </c>
      <c r="J58" s="16"/>
      <c r="K58" s="9" t="s">
        <v>14</v>
      </c>
      <c r="L58" s="13" t="e">
        <f t="shared" si="8"/>
        <v>#VALUE!</v>
      </c>
      <c r="M58" s="9" t="s">
        <v>14</v>
      </c>
      <c r="N58" s="9" t="s">
        <v>14</v>
      </c>
      <c r="O58" s="9" t="s">
        <v>14</v>
      </c>
      <c r="P58" s="9" t="s">
        <v>14</v>
      </c>
      <c r="Q58" s="9" t="s">
        <v>14</v>
      </c>
      <c r="R58" s="9" t="s">
        <v>14</v>
      </c>
      <c r="S58" s="13" t="s">
        <v>14</v>
      </c>
      <c r="T58" s="9" t="s">
        <v>14</v>
      </c>
      <c r="U58" s="9" t="s">
        <v>29</v>
      </c>
      <c r="V58" s="9" t="s">
        <v>14</v>
      </c>
    </row>
    <row r="59" customFormat="1" ht="24" customHeight="1" spans="1:22">
      <c r="A59" s="2" t="s">
        <v>360</v>
      </c>
      <c r="B59" s="4"/>
      <c r="C59" s="4" t="s">
        <v>128</v>
      </c>
      <c r="D59" s="4" t="s">
        <v>163</v>
      </c>
      <c r="E59" s="4" t="s">
        <v>131</v>
      </c>
      <c r="F59" s="4">
        <v>50</v>
      </c>
      <c r="G59" s="4">
        <v>10</v>
      </c>
      <c r="H59" s="4" t="s">
        <v>130</v>
      </c>
      <c r="I59" s="11"/>
      <c r="J59" s="11"/>
      <c r="K59" s="11"/>
      <c r="L59" s="12"/>
      <c r="M59" s="11"/>
      <c r="N59" s="11"/>
      <c r="O59" s="11"/>
      <c r="P59" s="11"/>
      <c r="Q59" s="11"/>
      <c r="R59" s="11"/>
      <c r="S59" s="12"/>
      <c r="T59" s="11"/>
      <c r="U59" s="4" t="s">
        <v>295</v>
      </c>
      <c r="V59" s="4"/>
    </row>
    <row r="60" s="8" customFormat="1" ht="24" customHeight="1" spans="1:22">
      <c r="A60" s="9" t="s">
        <v>361</v>
      </c>
      <c r="B60" s="9" t="s">
        <v>14</v>
      </c>
      <c r="C60" s="9" t="s">
        <v>354</v>
      </c>
      <c r="D60" s="9" t="s">
        <v>362</v>
      </c>
      <c r="E60" s="9" t="s">
        <v>140</v>
      </c>
      <c r="F60" s="9">
        <v>100</v>
      </c>
      <c r="G60" s="9">
        <v>10</v>
      </c>
      <c r="H60" s="9" t="s">
        <v>139</v>
      </c>
      <c r="I60" s="9" t="s">
        <v>14</v>
      </c>
      <c r="J60" s="16"/>
      <c r="K60" s="9" t="s">
        <v>14</v>
      </c>
      <c r="L60" s="13" t="e">
        <f t="shared" ref="L60:L63" si="9">IF(I60&gt;0,K60/I60,0)</f>
        <v>#VALUE!</v>
      </c>
      <c r="M60" s="9" t="s">
        <v>14</v>
      </c>
      <c r="N60" s="9" t="s">
        <v>14</v>
      </c>
      <c r="O60" s="9" t="s">
        <v>14</v>
      </c>
      <c r="P60" s="9" t="s">
        <v>14</v>
      </c>
      <c r="Q60" s="9" t="s">
        <v>14</v>
      </c>
      <c r="R60" s="9" t="s">
        <v>14</v>
      </c>
      <c r="S60" s="13" t="s">
        <v>14</v>
      </c>
      <c r="T60" s="9" t="s">
        <v>14</v>
      </c>
      <c r="U60" s="9" t="s">
        <v>29</v>
      </c>
      <c r="V60" s="9" t="s">
        <v>14</v>
      </c>
    </row>
    <row r="61" s="8" customFormat="1" ht="24" customHeight="1" spans="1:22">
      <c r="A61" s="9" t="s">
        <v>363</v>
      </c>
      <c r="B61" s="9"/>
      <c r="C61" s="9" t="s">
        <v>354</v>
      </c>
      <c r="D61" s="9" t="s">
        <v>362</v>
      </c>
      <c r="E61" s="9" t="s">
        <v>146</v>
      </c>
      <c r="F61" s="9">
        <v>300</v>
      </c>
      <c r="G61" s="9">
        <v>10</v>
      </c>
      <c r="H61" s="9" t="s">
        <v>145</v>
      </c>
      <c r="I61" s="9" t="s">
        <v>14</v>
      </c>
      <c r="J61" s="16"/>
      <c r="K61" s="9" t="s">
        <v>14</v>
      </c>
      <c r="L61" s="13" t="e">
        <f t="shared" si="9"/>
        <v>#VALUE!</v>
      </c>
      <c r="M61" s="9" t="s">
        <v>14</v>
      </c>
      <c r="N61" s="9" t="s">
        <v>14</v>
      </c>
      <c r="O61" s="9" t="s">
        <v>14</v>
      </c>
      <c r="P61" s="9" t="s">
        <v>14</v>
      </c>
      <c r="Q61" s="9" t="s">
        <v>14</v>
      </c>
      <c r="R61" s="9" t="s">
        <v>14</v>
      </c>
      <c r="S61" s="13" t="s">
        <v>14</v>
      </c>
      <c r="T61" s="9" t="s">
        <v>14</v>
      </c>
      <c r="U61" s="9" t="s">
        <v>29</v>
      </c>
      <c r="V61" s="9" t="s">
        <v>14</v>
      </c>
    </row>
    <row r="62" s="8" customFormat="1" ht="24" customHeight="1" spans="1:22">
      <c r="A62" s="9" t="s">
        <v>364</v>
      </c>
      <c r="B62" s="9" t="s">
        <v>14</v>
      </c>
      <c r="C62" s="9" t="s">
        <v>354</v>
      </c>
      <c r="D62" s="9" t="s">
        <v>362</v>
      </c>
      <c r="E62" s="9" t="s">
        <v>152</v>
      </c>
      <c r="F62" s="9">
        <v>500</v>
      </c>
      <c r="G62" s="9">
        <v>10</v>
      </c>
      <c r="H62" s="9" t="s">
        <v>151</v>
      </c>
      <c r="I62" s="9" t="s">
        <v>14</v>
      </c>
      <c r="J62" s="16"/>
      <c r="K62" s="9" t="s">
        <v>14</v>
      </c>
      <c r="L62" s="13" t="e">
        <f t="shared" si="9"/>
        <v>#VALUE!</v>
      </c>
      <c r="M62" s="9" t="s">
        <v>14</v>
      </c>
      <c r="N62" s="9" t="s">
        <v>14</v>
      </c>
      <c r="O62" s="9" t="s">
        <v>14</v>
      </c>
      <c r="P62" s="9" t="s">
        <v>14</v>
      </c>
      <c r="Q62" s="9" t="s">
        <v>14</v>
      </c>
      <c r="R62" s="9" t="s">
        <v>14</v>
      </c>
      <c r="S62" s="13" t="s">
        <v>14</v>
      </c>
      <c r="T62" s="9" t="s">
        <v>14</v>
      </c>
      <c r="U62" s="9" t="s">
        <v>29</v>
      </c>
      <c r="V62" s="9" t="s">
        <v>14</v>
      </c>
    </row>
    <row r="63" s="8" customFormat="1" ht="24" customHeight="1" spans="1:22">
      <c r="A63" s="9" t="s">
        <v>365</v>
      </c>
      <c r="B63" s="9" t="s">
        <v>14</v>
      </c>
      <c r="C63" s="9" t="s">
        <v>359</v>
      </c>
      <c r="D63" s="9" t="s">
        <v>362</v>
      </c>
      <c r="E63" s="9" t="s">
        <v>158</v>
      </c>
      <c r="F63" s="9">
        <v>500</v>
      </c>
      <c r="G63" s="9">
        <v>500</v>
      </c>
      <c r="H63" s="9" t="s">
        <v>145</v>
      </c>
      <c r="I63" s="9" t="s">
        <v>14</v>
      </c>
      <c r="J63" s="16"/>
      <c r="K63" s="9" t="s">
        <v>14</v>
      </c>
      <c r="L63" s="13" t="e">
        <f t="shared" si="9"/>
        <v>#VALUE!</v>
      </c>
      <c r="M63" s="9" t="s">
        <v>14</v>
      </c>
      <c r="N63" s="9" t="s">
        <v>14</v>
      </c>
      <c r="O63" s="9" t="s">
        <v>14</v>
      </c>
      <c r="P63" s="9" t="s">
        <v>14</v>
      </c>
      <c r="Q63" s="9" t="s">
        <v>14</v>
      </c>
      <c r="R63" s="9" t="s">
        <v>14</v>
      </c>
      <c r="S63" s="13" t="s">
        <v>14</v>
      </c>
      <c r="T63" s="9" t="s">
        <v>14</v>
      </c>
      <c r="U63" s="9" t="s">
        <v>29</v>
      </c>
      <c r="V63" s="9" t="s">
        <v>14</v>
      </c>
    </row>
    <row r="64" customFormat="1" ht="24" customHeight="1" spans="1:22">
      <c r="A64" s="2" t="s">
        <v>366</v>
      </c>
      <c r="B64" s="4"/>
      <c r="C64" s="4" t="s">
        <v>128</v>
      </c>
      <c r="D64" s="4" t="s">
        <v>163</v>
      </c>
      <c r="E64" s="4" t="s">
        <v>131</v>
      </c>
      <c r="F64" s="4">
        <v>50</v>
      </c>
      <c r="G64" s="4">
        <v>10</v>
      </c>
      <c r="H64" s="4" t="s">
        <v>130</v>
      </c>
      <c r="I64" s="11"/>
      <c r="J64" s="11"/>
      <c r="K64" s="11"/>
      <c r="L64" s="12"/>
      <c r="M64" s="11"/>
      <c r="N64" s="11"/>
      <c r="O64" s="11"/>
      <c r="P64" s="11"/>
      <c r="Q64" s="11"/>
      <c r="R64" s="11"/>
      <c r="S64" s="12"/>
      <c r="T64" s="11"/>
      <c r="U64" s="4" t="s">
        <v>295</v>
      </c>
      <c r="V64" s="4"/>
    </row>
    <row r="65" s="8" customFormat="1" ht="24" customHeight="1" spans="1:22">
      <c r="A65" s="9" t="s">
        <v>367</v>
      </c>
      <c r="B65" s="9" t="s">
        <v>14</v>
      </c>
      <c r="C65" s="9" t="s">
        <v>354</v>
      </c>
      <c r="D65" s="9" t="s">
        <v>368</v>
      </c>
      <c r="E65" s="9" t="s">
        <v>140</v>
      </c>
      <c r="F65" s="9">
        <v>100</v>
      </c>
      <c r="G65" s="9">
        <v>10</v>
      </c>
      <c r="H65" s="9" t="s">
        <v>139</v>
      </c>
      <c r="I65" s="9" t="s">
        <v>14</v>
      </c>
      <c r="J65" s="16"/>
      <c r="K65" s="9" t="s">
        <v>14</v>
      </c>
      <c r="L65" s="13" t="e">
        <f t="shared" ref="L65:L68" si="10">IF(I65&gt;0,K65/I65,0)</f>
        <v>#VALUE!</v>
      </c>
      <c r="M65" s="9" t="s">
        <v>14</v>
      </c>
      <c r="N65" s="9" t="s">
        <v>14</v>
      </c>
      <c r="O65" s="9" t="s">
        <v>14</v>
      </c>
      <c r="P65" s="9" t="s">
        <v>14</v>
      </c>
      <c r="Q65" s="9" t="s">
        <v>14</v>
      </c>
      <c r="R65" s="9" t="s">
        <v>14</v>
      </c>
      <c r="S65" s="13" t="s">
        <v>14</v>
      </c>
      <c r="T65" s="9" t="s">
        <v>14</v>
      </c>
      <c r="U65" s="9" t="s">
        <v>29</v>
      </c>
      <c r="V65" s="9" t="s">
        <v>14</v>
      </c>
    </row>
    <row r="66" s="8" customFormat="1" ht="24" customHeight="1" spans="1:22">
      <c r="A66" s="9" t="s">
        <v>369</v>
      </c>
      <c r="B66" s="9"/>
      <c r="C66" s="9" t="s">
        <v>354</v>
      </c>
      <c r="D66" s="9" t="s">
        <v>368</v>
      </c>
      <c r="E66" s="9" t="s">
        <v>146</v>
      </c>
      <c r="F66" s="9">
        <v>300</v>
      </c>
      <c r="G66" s="9">
        <v>10</v>
      </c>
      <c r="H66" s="9" t="s">
        <v>145</v>
      </c>
      <c r="I66" s="9" t="s">
        <v>14</v>
      </c>
      <c r="J66" s="16"/>
      <c r="K66" s="9" t="s">
        <v>14</v>
      </c>
      <c r="L66" s="13" t="e">
        <f t="shared" si="10"/>
        <v>#VALUE!</v>
      </c>
      <c r="M66" s="9" t="s">
        <v>14</v>
      </c>
      <c r="N66" s="9" t="s">
        <v>14</v>
      </c>
      <c r="O66" s="9" t="s">
        <v>14</v>
      </c>
      <c r="P66" s="9" t="s">
        <v>14</v>
      </c>
      <c r="Q66" s="9" t="s">
        <v>14</v>
      </c>
      <c r="R66" s="9" t="s">
        <v>14</v>
      </c>
      <c r="S66" s="13" t="s">
        <v>14</v>
      </c>
      <c r="T66" s="9" t="s">
        <v>14</v>
      </c>
      <c r="U66" s="9" t="s">
        <v>29</v>
      </c>
      <c r="V66" s="9" t="s">
        <v>14</v>
      </c>
    </row>
    <row r="67" s="8" customFormat="1" ht="24" customHeight="1" spans="1:22">
      <c r="A67" s="9" t="s">
        <v>370</v>
      </c>
      <c r="B67" s="9" t="s">
        <v>14</v>
      </c>
      <c r="C67" s="9" t="s">
        <v>354</v>
      </c>
      <c r="D67" s="9" t="s">
        <v>368</v>
      </c>
      <c r="E67" s="9" t="s">
        <v>152</v>
      </c>
      <c r="F67" s="9">
        <v>500</v>
      </c>
      <c r="G67" s="9">
        <v>10</v>
      </c>
      <c r="H67" s="9" t="s">
        <v>151</v>
      </c>
      <c r="I67" s="9" t="s">
        <v>14</v>
      </c>
      <c r="J67" s="16"/>
      <c r="K67" s="9" t="s">
        <v>14</v>
      </c>
      <c r="L67" s="13" t="e">
        <f t="shared" si="10"/>
        <v>#VALUE!</v>
      </c>
      <c r="M67" s="9" t="s">
        <v>14</v>
      </c>
      <c r="N67" s="9" t="s">
        <v>14</v>
      </c>
      <c r="O67" s="9" t="s">
        <v>14</v>
      </c>
      <c r="P67" s="9" t="s">
        <v>14</v>
      </c>
      <c r="Q67" s="9" t="s">
        <v>14</v>
      </c>
      <c r="R67" s="9" t="s">
        <v>14</v>
      </c>
      <c r="S67" s="13" t="s">
        <v>14</v>
      </c>
      <c r="T67" s="9" t="s">
        <v>14</v>
      </c>
      <c r="U67" s="9" t="s">
        <v>29</v>
      </c>
      <c r="V67" s="9" t="s">
        <v>14</v>
      </c>
    </row>
    <row r="68" s="8" customFormat="1" ht="24" customHeight="1" spans="1:22">
      <c r="A68" s="9" t="s">
        <v>371</v>
      </c>
      <c r="B68" s="9" t="s">
        <v>14</v>
      </c>
      <c r="C68" s="9" t="s">
        <v>359</v>
      </c>
      <c r="D68" s="9" t="s">
        <v>368</v>
      </c>
      <c r="E68" s="9" t="s">
        <v>158</v>
      </c>
      <c r="F68" s="9">
        <v>500</v>
      </c>
      <c r="G68" s="9">
        <v>500</v>
      </c>
      <c r="H68" s="9" t="s">
        <v>145</v>
      </c>
      <c r="I68" s="9" t="s">
        <v>14</v>
      </c>
      <c r="J68" s="16"/>
      <c r="K68" s="9" t="s">
        <v>14</v>
      </c>
      <c r="L68" s="13" t="e">
        <f t="shared" si="10"/>
        <v>#VALUE!</v>
      </c>
      <c r="M68" s="9" t="s">
        <v>14</v>
      </c>
      <c r="N68" s="9" t="s">
        <v>14</v>
      </c>
      <c r="O68" s="9" t="s">
        <v>14</v>
      </c>
      <c r="P68" s="9" t="s">
        <v>14</v>
      </c>
      <c r="Q68" s="9" t="s">
        <v>14</v>
      </c>
      <c r="R68" s="9" t="s">
        <v>14</v>
      </c>
      <c r="S68" s="13" t="s">
        <v>14</v>
      </c>
      <c r="T68" s="9" t="s">
        <v>14</v>
      </c>
      <c r="U68" s="9" t="s">
        <v>29</v>
      </c>
      <c r="V68" s="9" t="s">
        <v>14</v>
      </c>
    </row>
    <row r="69" customFormat="1" ht="24" customHeight="1" spans="1:22">
      <c r="A69" s="2" t="s">
        <v>372</v>
      </c>
      <c r="B69" s="4"/>
      <c r="C69" s="4" t="s">
        <v>128</v>
      </c>
      <c r="D69" s="4" t="s">
        <v>163</v>
      </c>
      <c r="E69" s="4" t="s">
        <v>131</v>
      </c>
      <c r="F69" s="4">
        <v>50</v>
      </c>
      <c r="G69" s="4">
        <v>10</v>
      </c>
      <c r="H69" s="4" t="s">
        <v>130</v>
      </c>
      <c r="I69" s="11"/>
      <c r="J69" s="11"/>
      <c r="K69" s="11"/>
      <c r="L69" s="12"/>
      <c r="M69" s="11"/>
      <c r="N69" s="11"/>
      <c r="O69" s="11"/>
      <c r="P69" s="11"/>
      <c r="Q69" s="11"/>
      <c r="R69" s="11"/>
      <c r="S69" s="12"/>
      <c r="T69" s="11"/>
      <c r="U69" s="4" t="s">
        <v>295</v>
      </c>
      <c r="V69" s="4"/>
    </row>
    <row r="70" s="8" customFormat="1" ht="24" customHeight="1" spans="1:22">
      <c r="A70" s="9" t="s">
        <v>373</v>
      </c>
      <c r="B70" s="9" t="s">
        <v>14</v>
      </c>
      <c r="C70" s="9" t="s">
        <v>354</v>
      </c>
      <c r="D70" s="9" t="s">
        <v>368</v>
      </c>
      <c r="E70" s="9" t="s">
        <v>140</v>
      </c>
      <c r="F70" s="9">
        <v>100</v>
      </c>
      <c r="G70" s="9">
        <v>10</v>
      </c>
      <c r="H70" s="9" t="s">
        <v>139</v>
      </c>
      <c r="I70" s="9" t="s">
        <v>14</v>
      </c>
      <c r="J70" s="16"/>
      <c r="K70" s="9" t="s">
        <v>14</v>
      </c>
      <c r="L70" s="13" t="e">
        <f t="shared" ref="L70:L73" si="11">IF(I70&gt;0,K70/I70,0)</f>
        <v>#VALUE!</v>
      </c>
      <c r="M70" s="9" t="s">
        <v>14</v>
      </c>
      <c r="N70" s="9" t="s">
        <v>14</v>
      </c>
      <c r="O70" s="9" t="s">
        <v>14</v>
      </c>
      <c r="P70" s="9" t="s">
        <v>14</v>
      </c>
      <c r="Q70" s="9" t="s">
        <v>14</v>
      </c>
      <c r="R70" s="9" t="s">
        <v>14</v>
      </c>
      <c r="S70" s="13" t="s">
        <v>14</v>
      </c>
      <c r="T70" s="9" t="s">
        <v>14</v>
      </c>
      <c r="U70" s="9" t="s">
        <v>29</v>
      </c>
      <c r="V70" s="9" t="s">
        <v>14</v>
      </c>
    </row>
    <row r="71" s="8" customFormat="1" ht="24" customHeight="1" spans="1:22">
      <c r="A71" s="9" t="s">
        <v>374</v>
      </c>
      <c r="B71" s="9"/>
      <c r="C71" s="9" t="s">
        <v>354</v>
      </c>
      <c r="D71" s="9" t="s">
        <v>368</v>
      </c>
      <c r="E71" s="9" t="s">
        <v>146</v>
      </c>
      <c r="F71" s="9">
        <v>300</v>
      </c>
      <c r="G71" s="9">
        <v>10</v>
      </c>
      <c r="H71" s="9" t="s">
        <v>145</v>
      </c>
      <c r="I71" s="9" t="s">
        <v>14</v>
      </c>
      <c r="J71" s="16"/>
      <c r="K71" s="9" t="s">
        <v>14</v>
      </c>
      <c r="L71" s="13" t="e">
        <f t="shared" si="11"/>
        <v>#VALUE!</v>
      </c>
      <c r="M71" s="9" t="s">
        <v>14</v>
      </c>
      <c r="N71" s="9" t="s">
        <v>14</v>
      </c>
      <c r="O71" s="9" t="s">
        <v>14</v>
      </c>
      <c r="P71" s="9" t="s">
        <v>14</v>
      </c>
      <c r="Q71" s="9" t="s">
        <v>14</v>
      </c>
      <c r="R71" s="9" t="s">
        <v>14</v>
      </c>
      <c r="S71" s="13" t="s">
        <v>14</v>
      </c>
      <c r="T71" s="9" t="s">
        <v>14</v>
      </c>
      <c r="U71" s="9" t="s">
        <v>29</v>
      </c>
      <c r="V71" s="9" t="s">
        <v>14</v>
      </c>
    </row>
    <row r="72" s="8" customFormat="1" ht="24" customHeight="1" spans="1:22">
      <c r="A72" s="9" t="s">
        <v>375</v>
      </c>
      <c r="B72" s="9" t="s">
        <v>14</v>
      </c>
      <c r="C72" s="9" t="s">
        <v>354</v>
      </c>
      <c r="D72" s="9" t="s">
        <v>368</v>
      </c>
      <c r="E72" s="9" t="s">
        <v>152</v>
      </c>
      <c r="F72" s="9">
        <v>500</v>
      </c>
      <c r="G72" s="9">
        <v>10</v>
      </c>
      <c r="H72" s="9" t="s">
        <v>151</v>
      </c>
      <c r="I72" s="9" t="s">
        <v>14</v>
      </c>
      <c r="J72" s="16"/>
      <c r="K72" s="9" t="s">
        <v>14</v>
      </c>
      <c r="L72" s="13" t="e">
        <f t="shared" si="11"/>
        <v>#VALUE!</v>
      </c>
      <c r="M72" s="9" t="s">
        <v>14</v>
      </c>
      <c r="N72" s="9" t="s">
        <v>14</v>
      </c>
      <c r="O72" s="9" t="s">
        <v>14</v>
      </c>
      <c r="P72" s="9" t="s">
        <v>14</v>
      </c>
      <c r="Q72" s="9" t="s">
        <v>14</v>
      </c>
      <c r="R72" s="9" t="s">
        <v>14</v>
      </c>
      <c r="S72" s="13" t="s">
        <v>14</v>
      </c>
      <c r="T72" s="9" t="s">
        <v>14</v>
      </c>
      <c r="U72" s="9" t="s">
        <v>29</v>
      </c>
      <c r="V72" s="9" t="s">
        <v>14</v>
      </c>
    </row>
    <row r="73" s="8" customFormat="1" ht="24" customHeight="1" spans="1:22">
      <c r="A73" s="9" t="s">
        <v>376</v>
      </c>
      <c r="B73" s="9" t="s">
        <v>14</v>
      </c>
      <c r="C73" s="9" t="s">
        <v>359</v>
      </c>
      <c r="D73" s="9" t="s">
        <v>368</v>
      </c>
      <c r="E73" s="9" t="s">
        <v>158</v>
      </c>
      <c r="F73" s="9">
        <v>500</v>
      </c>
      <c r="G73" s="9">
        <v>500</v>
      </c>
      <c r="H73" s="9" t="s">
        <v>145</v>
      </c>
      <c r="I73" s="9" t="s">
        <v>14</v>
      </c>
      <c r="J73" s="16"/>
      <c r="K73" s="9" t="s">
        <v>14</v>
      </c>
      <c r="L73" s="13" t="e">
        <f t="shared" si="11"/>
        <v>#VALUE!</v>
      </c>
      <c r="M73" s="9" t="s">
        <v>14</v>
      </c>
      <c r="N73" s="9" t="s">
        <v>14</v>
      </c>
      <c r="O73" s="9" t="s">
        <v>14</v>
      </c>
      <c r="P73" s="9" t="s">
        <v>14</v>
      </c>
      <c r="Q73" s="9" t="s">
        <v>14</v>
      </c>
      <c r="R73" s="9" t="s">
        <v>14</v>
      </c>
      <c r="S73" s="13" t="s">
        <v>14</v>
      </c>
      <c r="T73" s="9" t="s">
        <v>14</v>
      </c>
      <c r="U73" s="9" t="s">
        <v>29</v>
      </c>
      <c r="V73" s="9" t="s">
        <v>14</v>
      </c>
    </row>
    <row r="74" customFormat="1" ht="24" customHeight="1" spans="1:22">
      <c r="A74" s="2" t="s">
        <v>377</v>
      </c>
      <c r="B74" s="4"/>
      <c r="C74" s="4" t="s">
        <v>128</v>
      </c>
      <c r="D74" s="4" t="s">
        <v>171</v>
      </c>
      <c r="E74" s="4" t="s">
        <v>131</v>
      </c>
      <c r="F74" s="4">
        <v>50</v>
      </c>
      <c r="G74" s="4">
        <v>10</v>
      </c>
      <c r="H74" s="4" t="s">
        <v>130</v>
      </c>
      <c r="I74" s="11"/>
      <c r="J74" s="11"/>
      <c r="K74" s="11"/>
      <c r="L74" s="12"/>
      <c r="M74" s="11"/>
      <c r="N74" s="11"/>
      <c r="O74" s="11"/>
      <c r="P74" s="11"/>
      <c r="Q74" s="11"/>
      <c r="R74" s="11"/>
      <c r="S74" s="12"/>
      <c r="T74" s="11"/>
      <c r="U74" s="4" t="s">
        <v>295</v>
      </c>
      <c r="V74" s="4"/>
    </row>
    <row r="75" s="8" customFormat="1" ht="24" customHeight="1" spans="1:22">
      <c r="A75" s="9" t="s">
        <v>378</v>
      </c>
      <c r="B75" s="9" t="s">
        <v>14</v>
      </c>
      <c r="C75" s="9" t="s">
        <v>354</v>
      </c>
      <c r="D75" s="9" t="s">
        <v>379</v>
      </c>
      <c r="E75" s="9" t="s">
        <v>140</v>
      </c>
      <c r="F75" s="9">
        <v>100</v>
      </c>
      <c r="G75" s="9">
        <v>10</v>
      </c>
      <c r="H75" s="9" t="s">
        <v>139</v>
      </c>
      <c r="I75" s="9" t="s">
        <v>14</v>
      </c>
      <c r="J75" s="9"/>
      <c r="K75" s="9" t="s">
        <v>14</v>
      </c>
      <c r="L75" s="13" t="e">
        <f t="shared" ref="L75:L78" si="12">IF(I75&gt;0,K75/I75,0)</f>
        <v>#VALUE!</v>
      </c>
      <c r="M75" s="9" t="s">
        <v>14</v>
      </c>
      <c r="N75" s="9" t="s">
        <v>14</v>
      </c>
      <c r="O75" s="9" t="s">
        <v>14</v>
      </c>
      <c r="P75" s="9" t="s">
        <v>14</v>
      </c>
      <c r="Q75" s="9" t="s">
        <v>14</v>
      </c>
      <c r="R75" s="9" t="s">
        <v>14</v>
      </c>
      <c r="S75" s="13" t="s">
        <v>14</v>
      </c>
      <c r="T75" s="9" t="s">
        <v>14</v>
      </c>
      <c r="U75" s="9" t="s">
        <v>29</v>
      </c>
      <c r="V75" s="9" t="s">
        <v>14</v>
      </c>
    </row>
    <row r="76" s="8" customFormat="1" ht="24" customHeight="1" spans="1:22">
      <c r="A76" s="9" t="s">
        <v>380</v>
      </c>
      <c r="B76" s="9"/>
      <c r="C76" s="9" t="s">
        <v>354</v>
      </c>
      <c r="D76" s="9" t="s">
        <v>379</v>
      </c>
      <c r="E76" s="9" t="s">
        <v>146</v>
      </c>
      <c r="F76" s="9">
        <v>300</v>
      </c>
      <c r="G76" s="9">
        <v>10</v>
      </c>
      <c r="H76" s="9" t="s">
        <v>145</v>
      </c>
      <c r="I76" s="9" t="s">
        <v>14</v>
      </c>
      <c r="J76" s="9"/>
      <c r="K76" s="9" t="s">
        <v>14</v>
      </c>
      <c r="L76" s="13" t="e">
        <f t="shared" si="12"/>
        <v>#VALUE!</v>
      </c>
      <c r="M76" s="9" t="s">
        <v>14</v>
      </c>
      <c r="N76" s="9" t="s">
        <v>14</v>
      </c>
      <c r="O76" s="9" t="s">
        <v>14</v>
      </c>
      <c r="P76" s="9" t="s">
        <v>14</v>
      </c>
      <c r="Q76" s="9" t="s">
        <v>14</v>
      </c>
      <c r="R76" s="9" t="s">
        <v>14</v>
      </c>
      <c r="S76" s="13" t="s">
        <v>14</v>
      </c>
      <c r="T76" s="9" t="s">
        <v>14</v>
      </c>
      <c r="U76" s="9" t="s">
        <v>29</v>
      </c>
      <c r="V76" s="9" t="s">
        <v>14</v>
      </c>
    </row>
    <row r="77" s="8" customFormat="1" ht="24" customHeight="1" spans="1:22">
      <c r="A77" s="9" t="s">
        <v>381</v>
      </c>
      <c r="B77" s="9" t="s">
        <v>14</v>
      </c>
      <c r="C77" s="9" t="s">
        <v>354</v>
      </c>
      <c r="D77" s="9" t="s">
        <v>379</v>
      </c>
      <c r="E77" s="9" t="s">
        <v>152</v>
      </c>
      <c r="F77" s="9">
        <v>500</v>
      </c>
      <c r="G77" s="9">
        <v>10</v>
      </c>
      <c r="H77" s="9" t="s">
        <v>151</v>
      </c>
      <c r="I77" s="9" t="s">
        <v>14</v>
      </c>
      <c r="J77" s="9"/>
      <c r="K77" s="9" t="s">
        <v>14</v>
      </c>
      <c r="L77" s="13" t="e">
        <f t="shared" si="12"/>
        <v>#VALUE!</v>
      </c>
      <c r="M77" s="9" t="s">
        <v>14</v>
      </c>
      <c r="N77" s="9" t="s">
        <v>14</v>
      </c>
      <c r="O77" s="9" t="s">
        <v>14</v>
      </c>
      <c r="P77" s="9" t="s">
        <v>14</v>
      </c>
      <c r="Q77" s="9" t="s">
        <v>14</v>
      </c>
      <c r="R77" s="9" t="s">
        <v>14</v>
      </c>
      <c r="S77" s="13" t="s">
        <v>14</v>
      </c>
      <c r="T77" s="9" t="s">
        <v>14</v>
      </c>
      <c r="U77" s="9" t="s">
        <v>29</v>
      </c>
      <c r="V77" s="9" t="s">
        <v>14</v>
      </c>
    </row>
    <row r="78" s="8" customFormat="1" ht="24" customHeight="1" spans="1:22">
      <c r="A78" s="9" t="s">
        <v>382</v>
      </c>
      <c r="B78" s="9" t="s">
        <v>14</v>
      </c>
      <c r="C78" s="9" t="s">
        <v>359</v>
      </c>
      <c r="D78" s="9" t="s">
        <v>379</v>
      </c>
      <c r="E78" s="9" t="s">
        <v>158</v>
      </c>
      <c r="F78" s="9">
        <v>500</v>
      </c>
      <c r="G78" s="9">
        <v>500</v>
      </c>
      <c r="H78" s="9" t="s">
        <v>145</v>
      </c>
      <c r="I78" s="9" t="s">
        <v>14</v>
      </c>
      <c r="J78" s="9"/>
      <c r="K78" s="9" t="s">
        <v>14</v>
      </c>
      <c r="L78" s="13" t="e">
        <f t="shared" si="12"/>
        <v>#VALUE!</v>
      </c>
      <c r="M78" s="9" t="s">
        <v>14</v>
      </c>
      <c r="N78" s="9" t="s">
        <v>14</v>
      </c>
      <c r="O78" s="9" t="s">
        <v>14</v>
      </c>
      <c r="P78" s="9" t="s">
        <v>14</v>
      </c>
      <c r="Q78" s="9" t="s">
        <v>14</v>
      </c>
      <c r="R78" s="9" t="s">
        <v>14</v>
      </c>
      <c r="S78" s="13" t="s">
        <v>14</v>
      </c>
      <c r="T78" s="9" t="s">
        <v>14</v>
      </c>
      <c r="U78" s="9" t="s">
        <v>29</v>
      </c>
      <c r="V78" s="9" t="s">
        <v>14</v>
      </c>
    </row>
    <row r="79" customFormat="1" ht="24" customHeight="1" spans="1:22">
      <c r="A79" s="2" t="s">
        <v>383</v>
      </c>
      <c r="B79" s="4"/>
      <c r="C79" s="4" t="s">
        <v>128</v>
      </c>
      <c r="D79" s="4" t="s">
        <v>171</v>
      </c>
      <c r="E79" s="4" t="s">
        <v>131</v>
      </c>
      <c r="F79" s="4">
        <v>50</v>
      </c>
      <c r="G79" s="4">
        <v>10</v>
      </c>
      <c r="H79" s="4" t="s">
        <v>130</v>
      </c>
      <c r="I79" s="11"/>
      <c r="J79" s="11"/>
      <c r="K79" s="11"/>
      <c r="L79" s="12"/>
      <c r="M79" s="11"/>
      <c r="N79" s="11"/>
      <c r="O79" s="11"/>
      <c r="P79" s="11"/>
      <c r="Q79" s="11"/>
      <c r="R79" s="11"/>
      <c r="S79" s="12"/>
      <c r="T79" s="11"/>
      <c r="U79" s="4" t="s">
        <v>295</v>
      </c>
      <c r="V79" s="4"/>
    </row>
    <row r="80" s="8" customFormat="1" ht="24" customHeight="1" spans="1:22">
      <c r="A80" s="9" t="s">
        <v>384</v>
      </c>
      <c r="B80" s="9" t="s">
        <v>14</v>
      </c>
      <c r="C80" s="9" t="s">
        <v>354</v>
      </c>
      <c r="D80" s="9" t="s">
        <v>385</v>
      </c>
      <c r="E80" s="9" t="s">
        <v>140</v>
      </c>
      <c r="F80" s="9">
        <v>100</v>
      </c>
      <c r="G80" s="9">
        <v>10</v>
      </c>
      <c r="H80" s="9" t="s">
        <v>139</v>
      </c>
      <c r="I80" s="9" t="s">
        <v>14</v>
      </c>
      <c r="J80" s="9"/>
      <c r="K80" s="9" t="s">
        <v>14</v>
      </c>
      <c r="L80" s="13" t="e">
        <f t="shared" ref="L80:L83" si="13">IF(I80&gt;0,K80/I80,0)</f>
        <v>#VALUE!</v>
      </c>
      <c r="M80" s="9" t="s">
        <v>14</v>
      </c>
      <c r="N80" s="9" t="s">
        <v>14</v>
      </c>
      <c r="O80" s="9" t="s">
        <v>14</v>
      </c>
      <c r="P80" s="9" t="s">
        <v>14</v>
      </c>
      <c r="Q80" s="9" t="s">
        <v>14</v>
      </c>
      <c r="R80" s="9" t="s">
        <v>14</v>
      </c>
      <c r="S80" s="13" t="s">
        <v>14</v>
      </c>
      <c r="T80" s="9" t="s">
        <v>14</v>
      </c>
      <c r="U80" s="9" t="s">
        <v>29</v>
      </c>
      <c r="V80" s="9" t="s">
        <v>14</v>
      </c>
    </row>
    <row r="81" s="8" customFormat="1" ht="24" customHeight="1" spans="1:22">
      <c r="A81" s="9" t="s">
        <v>386</v>
      </c>
      <c r="B81" s="9"/>
      <c r="C81" s="9" t="s">
        <v>354</v>
      </c>
      <c r="D81" s="9" t="s">
        <v>385</v>
      </c>
      <c r="E81" s="9" t="s">
        <v>146</v>
      </c>
      <c r="F81" s="9">
        <v>300</v>
      </c>
      <c r="G81" s="9">
        <v>10</v>
      </c>
      <c r="H81" s="9" t="s">
        <v>145</v>
      </c>
      <c r="I81" s="9" t="s">
        <v>14</v>
      </c>
      <c r="J81" s="9"/>
      <c r="K81" s="9" t="s">
        <v>14</v>
      </c>
      <c r="L81" s="13" t="e">
        <f t="shared" si="13"/>
        <v>#VALUE!</v>
      </c>
      <c r="M81" s="9" t="s">
        <v>14</v>
      </c>
      <c r="N81" s="9" t="s">
        <v>14</v>
      </c>
      <c r="O81" s="9" t="s">
        <v>14</v>
      </c>
      <c r="P81" s="9" t="s">
        <v>14</v>
      </c>
      <c r="Q81" s="9" t="s">
        <v>14</v>
      </c>
      <c r="R81" s="9" t="s">
        <v>14</v>
      </c>
      <c r="S81" s="13" t="s">
        <v>14</v>
      </c>
      <c r="T81" s="9" t="s">
        <v>14</v>
      </c>
      <c r="U81" s="9" t="s">
        <v>29</v>
      </c>
      <c r="V81" s="9" t="s">
        <v>14</v>
      </c>
    </row>
    <row r="82" s="8" customFormat="1" ht="24" customHeight="1" spans="1:22">
      <c r="A82" s="9" t="s">
        <v>387</v>
      </c>
      <c r="B82" s="9" t="s">
        <v>14</v>
      </c>
      <c r="C82" s="9" t="s">
        <v>354</v>
      </c>
      <c r="D82" s="9" t="s">
        <v>385</v>
      </c>
      <c r="E82" s="9" t="s">
        <v>152</v>
      </c>
      <c r="F82" s="9">
        <v>500</v>
      </c>
      <c r="G82" s="9">
        <v>10</v>
      </c>
      <c r="H82" s="9" t="s">
        <v>151</v>
      </c>
      <c r="I82" s="9" t="s">
        <v>14</v>
      </c>
      <c r="J82" s="9"/>
      <c r="K82" s="9" t="s">
        <v>14</v>
      </c>
      <c r="L82" s="13" t="e">
        <f t="shared" si="13"/>
        <v>#VALUE!</v>
      </c>
      <c r="M82" s="9" t="s">
        <v>14</v>
      </c>
      <c r="N82" s="9" t="s">
        <v>14</v>
      </c>
      <c r="O82" s="9" t="s">
        <v>14</v>
      </c>
      <c r="P82" s="9" t="s">
        <v>14</v>
      </c>
      <c r="Q82" s="9" t="s">
        <v>14</v>
      </c>
      <c r="R82" s="9" t="s">
        <v>14</v>
      </c>
      <c r="S82" s="13" t="s">
        <v>14</v>
      </c>
      <c r="T82" s="9" t="s">
        <v>14</v>
      </c>
      <c r="U82" s="9" t="s">
        <v>29</v>
      </c>
      <c r="V82" s="9" t="s">
        <v>14</v>
      </c>
    </row>
    <row r="83" s="8" customFormat="1" ht="24" customHeight="1" spans="1:22">
      <c r="A83" s="9" t="s">
        <v>388</v>
      </c>
      <c r="B83" s="9" t="s">
        <v>14</v>
      </c>
      <c r="C83" s="9" t="s">
        <v>359</v>
      </c>
      <c r="D83" s="9" t="s">
        <v>385</v>
      </c>
      <c r="E83" s="9" t="s">
        <v>158</v>
      </c>
      <c r="F83" s="9">
        <v>500</v>
      </c>
      <c r="G83" s="9">
        <v>500</v>
      </c>
      <c r="H83" s="9" t="s">
        <v>145</v>
      </c>
      <c r="I83" s="9" t="s">
        <v>14</v>
      </c>
      <c r="J83" s="9"/>
      <c r="K83" s="9" t="s">
        <v>14</v>
      </c>
      <c r="L83" s="13" t="e">
        <f t="shared" si="13"/>
        <v>#VALUE!</v>
      </c>
      <c r="M83" s="9" t="s">
        <v>14</v>
      </c>
      <c r="N83" s="9" t="s">
        <v>14</v>
      </c>
      <c r="O83" s="9" t="s">
        <v>14</v>
      </c>
      <c r="P83" s="9" t="s">
        <v>14</v>
      </c>
      <c r="Q83" s="9" t="s">
        <v>14</v>
      </c>
      <c r="R83" s="9" t="s">
        <v>14</v>
      </c>
      <c r="S83" s="13" t="s">
        <v>14</v>
      </c>
      <c r="T83" s="9" t="s">
        <v>14</v>
      </c>
      <c r="U83" s="9" t="s">
        <v>29</v>
      </c>
      <c r="V83" s="9" t="s">
        <v>14</v>
      </c>
    </row>
    <row r="84" ht="24" customHeight="1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4"/>
      <c r="M84" s="2"/>
      <c r="N84" s="2"/>
      <c r="O84" s="2"/>
      <c r="P84" s="2"/>
      <c r="Q84" s="2"/>
      <c r="R84" s="2"/>
      <c r="S84" s="14"/>
      <c r="T84" s="2"/>
      <c r="U84" s="2"/>
      <c r="V84" s="2"/>
    </row>
    <row r="85" ht="24" customHeight="1" spans="1: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5"/>
      <c r="M85" s="4"/>
      <c r="N85" s="4"/>
      <c r="O85" s="4"/>
      <c r="P85" s="4"/>
      <c r="Q85" s="4"/>
      <c r="R85" s="4"/>
      <c r="S85" s="15"/>
      <c r="T85" s="4"/>
      <c r="U85" s="4"/>
      <c r="V85" s="4"/>
    </row>
    <row r="86" ht="24" customHeight="1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4"/>
      <c r="M86" s="2"/>
      <c r="N86" s="2"/>
      <c r="O86" s="2"/>
      <c r="P86" s="2"/>
      <c r="Q86" s="2"/>
      <c r="R86" s="2"/>
      <c r="S86" s="14"/>
      <c r="T86" s="2"/>
      <c r="U86" s="2"/>
      <c r="V86" s="2"/>
    </row>
    <row r="87" ht="24" customHeight="1" spans="1: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5"/>
      <c r="M87" s="4"/>
      <c r="N87" s="4"/>
      <c r="O87" s="4"/>
      <c r="P87" s="4"/>
      <c r="Q87" s="4"/>
      <c r="R87" s="4"/>
      <c r="S87" s="15"/>
      <c r="T87" s="4"/>
      <c r="U87" s="4"/>
      <c r="V87" s="4"/>
    </row>
    <row r="88" ht="24" customHeight="1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4"/>
      <c r="M88" s="2"/>
      <c r="N88" s="2"/>
      <c r="O88" s="2"/>
      <c r="P88" s="2"/>
      <c r="Q88" s="2"/>
      <c r="R88" s="2"/>
      <c r="S88" s="14"/>
      <c r="T88" s="2"/>
      <c r="U88" s="2"/>
      <c r="V88" s="2"/>
    </row>
    <row r="89" ht="24" customHeight="1" spans="1: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5"/>
      <c r="M89" s="4"/>
      <c r="N89" s="4"/>
      <c r="O89" s="4"/>
      <c r="P89" s="4"/>
      <c r="Q89" s="4"/>
      <c r="R89" s="4"/>
      <c r="S89" s="15"/>
      <c r="T89" s="4"/>
      <c r="U89" s="4"/>
      <c r="V89" s="4"/>
    </row>
    <row r="90" ht="24" customHeight="1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4"/>
      <c r="M90" s="2"/>
      <c r="N90" s="2"/>
      <c r="O90" s="2"/>
      <c r="P90" s="2"/>
      <c r="Q90" s="2"/>
      <c r="R90" s="2"/>
      <c r="S90" s="14"/>
      <c r="T90" s="2"/>
      <c r="U90" s="2"/>
      <c r="V90" s="2"/>
    </row>
    <row r="91" ht="24" customHeight="1" spans="1: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5"/>
      <c r="M91" s="4"/>
      <c r="N91" s="4"/>
      <c r="O91" s="4"/>
      <c r="P91" s="4"/>
      <c r="Q91" s="4"/>
      <c r="R91" s="4"/>
      <c r="S91" s="15"/>
      <c r="T91" s="4"/>
      <c r="U91" s="4"/>
      <c r="V91" s="4"/>
    </row>
    <row r="92" ht="24" customHeight="1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4"/>
      <c r="M92" s="2"/>
      <c r="N92" s="2"/>
      <c r="O92" s="2"/>
      <c r="P92" s="2"/>
      <c r="Q92" s="2"/>
      <c r="R92" s="2"/>
      <c r="S92" s="14"/>
      <c r="T92" s="2"/>
      <c r="U92" s="2"/>
      <c r="V92" s="2"/>
    </row>
    <row r="93" ht="24" customHeight="1" spans="1: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5"/>
      <c r="M93" s="4"/>
      <c r="N93" s="4"/>
      <c r="O93" s="4"/>
      <c r="P93" s="4"/>
      <c r="Q93" s="4"/>
      <c r="R93" s="4"/>
      <c r="S93" s="15"/>
      <c r="T93" s="4"/>
      <c r="U93" s="4"/>
      <c r="V93" s="4"/>
    </row>
    <row r="94" ht="24" customHeight="1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4"/>
      <c r="M94" s="2"/>
      <c r="N94" s="2"/>
      <c r="O94" s="2"/>
      <c r="P94" s="2"/>
      <c r="Q94" s="2"/>
      <c r="R94" s="2"/>
      <c r="S94" s="14"/>
      <c r="T94" s="2"/>
      <c r="U94" s="2"/>
      <c r="V94" s="2"/>
    </row>
    <row r="95" ht="24" customHeight="1" spans="1: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5"/>
      <c r="M95" s="4"/>
      <c r="N95" s="4"/>
      <c r="O95" s="4"/>
      <c r="P95" s="4"/>
      <c r="Q95" s="4"/>
      <c r="R95" s="4"/>
      <c r="S95" s="15"/>
      <c r="T95" s="4"/>
      <c r="U95" s="4"/>
      <c r="V95" s="4"/>
    </row>
    <row r="96" ht="24" customHeight="1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4"/>
      <c r="M96" s="2"/>
      <c r="N96" s="2"/>
      <c r="O96" s="2"/>
      <c r="P96" s="2"/>
      <c r="Q96" s="2"/>
      <c r="R96" s="2"/>
      <c r="S96" s="14"/>
      <c r="T96" s="2"/>
      <c r="U96" s="2"/>
      <c r="V96" s="2"/>
    </row>
    <row r="97" ht="24" customHeight="1" spans="1: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5"/>
      <c r="M97" s="4"/>
      <c r="N97" s="4"/>
      <c r="O97" s="4"/>
      <c r="P97" s="4"/>
      <c r="Q97" s="4"/>
      <c r="R97" s="4"/>
      <c r="S97" s="15"/>
      <c r="T97" s="4"/>
      <c r="U97" s="4"/>
      <c r="V97" s="4"/>
    </row>
    <row r="98" ht="24" customHeight="1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4"/>
      <c r="M98" s="2"/>
      <c r="N98" s="2"/>
      <c r="O98" s="2"/>
      <c r="P98" s="2"/>
      <c r="Q98" s="2"/>
      <c r="R98" s="2"/>
      <c r="S98" s="14"/>
      <c r="T98" s="2"/>
      <c r="U98" s="2"/>
      <c r="V98" s="2"/>
    </row>
    <row r="99" ht="24" customHeight="1" spans="1: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5"/>
      <c r="M99" s="4"/>
      <c r="N99" s="4"/>
      <c r="O99" s="4"/>
      <c r="P99" s="4"/>
      <c r="Q99" s="4"/>
      <c r="R99" s="4"/>
      <c r="S99" s="15"/>
      <c r="T99" s="4"/>
      <c r="U99" s="4"/>
      <c r="V99" s="4"/>
    </row>
    <row r="100" ht="24" customHeight="1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4"/>
      <c r="M100" s="2"/>
      <c r="N100" s="2"/>
      <c r="O100" s="2"/>
      <c r="P100" s="2"/>
      <c r="Q100" s="2"/>
      <c r="R100" s="2"/>
      <c r="S100" s="14"/>
      <c r="T100" s="2"/>
      <c r="U100" s="2"/>
      <c r="V100" s="2"/>
    </row>
    <row r="101" ht="24" customHeight="1" spans="1: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5"/>
      <c r="M101" s="4"/>
      <c r="N101" s="4"/>
      <c r="O101" s="4"/>
      <c r="P101" s="4"/>
      <c r="Q101" s="4"/>
      <c r="R101" s="4"/>
      <c r="S101" s="15"/>
      <c r="T101" s="4"/>
      <c r="U101" s="4"/>
      <c r="V101" s="4"/>
    </row>
  </sheetData>
  <mergeCells count="1">
    <mergeCell ref="A1:T1"/>
  </mergeCells>
  <conditionalFormatting sqref="L14">
    <cfRule type="cellIs" dxfId="0" priority="82" operator="greaterThan">
      <formula>0.01</formula>
    </cfRule>
  </conditionalFormatting>
  <conditionalFormatting sqref="N14">
    <cfRule type="cellIs" dxfId="1" priority="83" operator="greaterThan">
      <formula>1000</formula>
    </cfRule>
  </conditionalFormatting>
  <conditionalFormatting sqref="S14">
    <cfRule type="cellIs" dxfId="1" priority="84" operator="greaterThan">
      <formula>0.9</formula>
    </cfRule>
  </conditionalFormatting>
  <conditionalFormatting sqref="L19">
    <cfRule type="cellIs" dxfId="0" priority="76" operator="greaterThan">
      <formula>0.01</formula>
    </cfRule>
  </conditionalFormatting>
  <conditionalFormatting sqref="N19">
    <cfRule type="cellIs" dxfId="1" priority="77" operator="greaterThan">
      <formula>1000</formula>
    </cfRule>
  </conditionalFormatting>
  <conditionalFormatting sqref="S19">
    <cfRule type="cellIs" dxfId="1" priority="78" operator="greaterThan">
      <formula>0.9</formula>
    </cfRule>
  </conditionalFormatting>
  <conditionalFormatting sqref="L24">
    <cfRule type="cellIs" dxfId="0" priority="70" operator="greaterThan">
      <formula>0.01</formula>
    </cfRule>
  </conditionalFormatting>
  <conditionalFormatting sqref="N24">
    <cfRule type="cellIs" dxfId="1" priority="71" operator="greaterThan">
      <formula>1000</formula>
    </cfRule>
  </conditionalFormatting>
  <conditionalFormatting sqref="S24">
    <cfRule type="cellIs" dxfId="1" priority="72" operator="greaterThan">
      <formula>0.9</formula>
    </cfRule>
  </conditionalFormatting>
  <conditionalFormatting sqref="L29">
    <cfRule type="cellIs" dxfId="0" priority="64" operator="greaterThan">
      <formula>0.01</formula>
    </cfRule>
  </conditionalFormatting>
  <conditionalFormatting sqref="N29">
    <cfRule type="cellIs" dxfId="1" priority="65" operator="greaterThan">
      <formula>1000</formula>
    </cfRule>
  </conditionalFormatting>
  <conditionalFormatting sqref="S29">
    <cfRule type="cellIs" dxfId="1" priority="66" operator="greaterThan">
      <formula>0.9</formula>
    </cfRule>
  </conditionalFormatting>
  <conditionalFormatting sqref="L34">
    <cfRule type="cellIs" dxfId="0" priority="58" operator="greaterThan">
      <formula>0.01</formula>
    </cfRule>
  </conditionalFormatting>
  <conditionalFormatting sqref="N34">
    <cfRule type="cellIs" dxfId="1" priority="59" operator="greaterThan">
      <formula>1000</formula>
    </cfRule>
  </conditionalFormatting>
  <conditionalFormatting sqref="S34">
    <cfRule type="cellIs" dxfId="1" priority="60" operator="greaterThan">
      <formula>0.9</formula>
    </cfRule>
  </conditionalFormatting>
  <conditionalFormatting sqref="L39">
    <cfRule type="cellIs" dxfId="0" priority="52" operator="greaterThan">
      <formula>0.01</formula>
    </cfRule>
  </conditionalFormatting>
  <conditionalFormatting sqref="N39">
    <cfRule type="cellIs" dxfId="1" priority="53" operator="greaterThan">
      <formula>1000</formula>
    </cfRule>
  </conditionalFormatting>
  <conditionalFormatting sqref="S39">
    <cfRule type="cellIs" dxfId="1" priority="54" operator="greaterThan">
      <formula>0.9</formula>
    </cfRule>
  </conditionalFormatting>
  <conditionalFormatting sqref="L44">
    <cfRule type="cellIs" dxfId="0" priority="46" operator="greaterThan">
      <formula>0.01</formula>
    </cfRule>
  </conditionalFormatting>
  <conditionalFormatting sqref="N44">
    <cfRule type="cellIs" dxfId="1" priority="47" operator="greaterThan">
      <formula>1000</formula>
    </cfRule>
  </conditionalFormatting>
  <conditionalFormatting sqref="S44">
    <cfRule type="cellIs" dxfId="1" priority="48" operator="greaterThan">
      <formula>0.9</formula>
    </cfRule>
  </conditionalFormatting>
  <conditionalFormatting sqref="L49">
    <cfRule type="cellIs" dxfId="0" priority="40" operator="greaterThan">
      <formula>0.01</formula>
    </cfRule>
  </conditionalFormatting>
  <conditionalFormatting sqref="N49">
    <cfRule type="cellIs" dxfId="1" priority="41" operator="greaterThan">
      <formula>1000</formula>
    </cfRule>
  </conditionalFormatting>
  <conditionalFormatting sqref="S49">
    <cfRule type="cellIs" dxfId="1" priority="42" operator="greaterThan">
      <formula>0.9</formula>
    </cfRule>
  </conditionalFormatting>
  <conditionalFormatting sqref="L54">
    <cfRule type="cellIs" dxfId="0" priority="34" operator="greaterThan">
      <formula>0.01</formula>
    </cfRule>
  </conditionalFormatting>
  <conditionalFormatting sqref="N54">
    <cfRule type="cellIs" dxfId="1" priority="35" operator="greaterThan">
      <formula>1000</formula>
    </cfRule>
  </conditionalFormatting>
  <conditionalFormatting sqref="S54">
    <cfRule type="cellIs" dxfId="1" priority="36" operator="greaterThan">
      <formula>0.9</formula>
    </cfRule>
  </conditionalFormatting>
  <conditionalFormatting sqref="L59">
    <cfRule type="cellIs" dxfId="0" priority="28" operator="greaterThan">
      <formula>0.01</formula>
    </cfRule>
  </conditionalFormatting>
  <conditionalFormatting sqref="N59">
    <cfRule type="cellIs" dxfId="1" priority="29" operator="greaterThan">
      <formula>1000</formula>
    </cfRule>
  </conditionalFormatting>
  <conditionalFormatting sqref="S59">
    <cfRule type="cellIs" dxfId="1" priority="30" operator="greaterThan">
      <formula>0.9</formula>
    </cfRule>
  </conditionalFormatting>
  <conditionalFormatting sqref="L64">
    <cfRule type="cellIs" dxfId="0" priority="22" operator="greaterThan">
      <formula>0.01</formula>
    </cfRule>
  </conditionalFormatting>
  <conditionalFormatting sqref="N64">
    <cfRule type="cellIs" dxfId="1" priority="23" operator="greaterThan">
      <formula>1000</formula>
    </cfRule>
  </conditionalFormatting>
  <conditionalFormatting sqref="S64">
    <cfRule type="cellIs" dxfId="1" priority="24" operator="greaterThan">
      <formula>0.9</formula>
    </cfRule>
  </conditionalFormatting>
  <conditionalFormatting sqref="L69">
    <cfRule type="cellIs" dxfId="0" priority="16" operator="greaterThan">
      <formula>0.01</formula>
    </cfRule>
  </conditionalFormatting>
  <conditionalFormatting sqref="N69">
    <cfRule type="cellIs" dxfId="1" priority="17" operator="greaterThan">
      <formula>1000</formula>
    </cfRule>
  </conditionalFormatting>
  <conditionalFormatting sqref="S69">
    <cfRule type="cellIs" dxfId="1" priority="18" operator="greaterThan">
      <formula>0.9</formula>
    </cfRule>
  </conditionalFormatting>
  <conditionalFormatting sqref="L74">
    <cfRule type="cellIs" dxfId="0" priority="10" operator="greaterThan">
      <formula>0.01</formula>
    </cfRule>
  </conditionalFormatting>
  <conditionalFormatting sqref="N74">
    <cfRule type="cellIs" dxfId="1" priority="11" operator="greaterThan">
      <formula>1000</formula>
    </cfRule>
  </conditionalFormatting>
  <conditionalFormatting sqref="S74">
    <cfRule type="cellIs" dxfId="1" priority="12" operator="greaterThan">
      <formula>0.9</formula>
    </cfRule>
  </conditionalFormatting>
  <conditionalFormatting sqref="L79">
    <cfRule type="cellIs" dxfId="0" priority="4" operator="greaterThan">
      <formula>0.01</formula>
    </cfRule>
  </conditionalFormatting>
  <conditionalFormatting sqref="N79">
    <cfRule type="cellIs" dxfId="1" priority="5" operator="greaterThan">
      <formula>1000</formula>
    </cfRule>
  </conditionalFormatting>
  <conditionalFormatting sqref="S79">
    <cfRule type="cellIs" dxfId="1" priority="6" operator="greaterThan">
      <formula>0.9</formula>
    </cfRule>
  </conditionalFormatting>
  <conditionalFormatting sqref="L10:L13">
    <cfRule type="cellIs" dxfId="0" priority="85" operator="greaterThan">
      <formula>0.01</formula>
    </cfRule>
  </conditionalFormatting>
  <conditionalFormatting sqref="L15:L18">
    <cfRule type="cellIs" dxfId="0" priority="79" operator="greaterThan">
      <formula>0.01</formula>
    </cfRule>
  </conditionalFormatting>
  <conditionalFormatting sqref="L20:L23">
    <cfRule type="cellIs" dxfId="0" priority="73" operator="greaterThan">
      <formula>0.01</formula>
    </cfRule>
  </conditionalFormatting>
  <conditionalFormatting sqref="L25:L28">
    <cfRule type="cellIs" dxfId="0" priority="67" operator="greaterThan">
      <formula>0.01</formula>
    </cfRule>
  </conditionalFormatting>
  <conditionalFormatting sqref="L30:L33">
    <cfRule type="cellIs" dxfId="0" priority="61" operator="greaterThan">
      <formula>0.01</formula>
    </cfRule>
  </conditionalFormatting>
  <conditionalFormatting sqref="L35:L38">
    <cfRule type="cellIs" dxfId="0" priority="55" operator="greaterThan">
      <formula>0.01</formula>
    </cfRule>
  </conditionalFormatting>
  <conditionalFormatting sqref="L40:L43">
    <cfRule type="cellIs" dxfId="0" priority="49" operator="greaterThan">
      <formula>0.01</formula>
    </cfRule>
  </conditionalFormatting>
  <conditionalFormatting sqref="L45:L48">
    <cfRule type="cellIs" dxfId="0" priority="43" operator="greaterThan">
      <formula>0.01</formula>
    </cfRule>
  </conditionalFormatting>
  <conditionalFormatting sqref="L50:L53">
    <cfRule type="cellIs" dxfId="0" priority="37" operator="greaterThan">
      <formula>0.01</formula>
    </cfRule>
  </conditionalFormatting>
  <conditionalFormatting sqref="L55:L58">
    <cfRule type="cellIs" dxfId="0" priority="31" operator="greaterThan">
      <formula>0.01</formula>
    </cfRule>
  </conditionalFormatting>
  <conditionalFormatting sqref="L60:L63">
    <cfRule type="cellIs" dxfId="0" priority="25" operator="greaterThan">
      <formula>0.01</formula>
    </cfRule>
  </conditionalFormatting>
  <conditionalFormatting sqref="L65:L68">
    <cfRule type="cellIs" dxfId="0" priority="19" operator="greaterThan">
      <formula>0.01</formula>
    </cfRule>
  </conditionalFormatting>
  <conditionalFormatting sqref="L70:L73">
    <cfRule type="cellIs" dxfId="0" priority="13" operator="greaterThan">
      <formula>0.01</formula>
    </cfRule>
  </conditionalFormatting>
  <conditionalFormatting sqref="L75:L78">
    <cfRule type="cellIs" dxfId="0" priority="7" operator="greaterThan">
      <formula>0.01</formula>
    </cfRule>
  </conditionalFormatting>
  <conditionalFormatting sqref="L80:L83">
    <cfRule type="cellIs" dxfId="0" priority="1" operator="greaterThan">
      <formula>0.01</formula>
    </cfRule>
  </conditionalFormatting>
  <conditionalFormatting sqref="N10:N13">
    <cfRule type="cellIs" dxfId="1" priority="86" operator="greaterThan">
      <formula>1000</formula>
    </cfRule>
  </conditionalFormatting>
  <conditionalFormatting sqref="N15:N18">
    <cfRule type="cellIs" dxfId="1" priority="80" operator="greaterThan">
      <formula>1000</formula>
    </cfRule>
  </conditionalFormatting>
  <conditionalFormatting sqref="N20:N23">
    <cfRule type="cellIs" dxfId="1" priority="74" operator="greaterThan">
      <formula>1000</formula>
    </cfRule>
  </conditionalFormatting>
  <conditionalFormatting sqref="N25:N28">
    <cfRule type="cellIs" dxfId="1" priority="68" operator="greaterThan">
      <formula>1000</formula>
    </cfRule>
  </conditionalFormatting>
  <conditionalFormatting sqref="N30:N33">
    <cfRule type="cellIs" dxfId="1" priority="62" operator="greaterThan">
      <formula>1000</formula>
    </cfRule>
  </conditionalFormatting>
  <conditionalFormatting sqref="N35:N38">
    <cfRule type="cellIs" dxfId="1" priority="56" operator="greaterThan">
      <formula>1000</formula>
    </cfRule>
  </conditionalFormatting>
  <conditionalFormatting sqref="N40:N43">
    <cfRule type="cellIs" dxfId="1" priority="50" operator="greaterThan">
      <formula>1000</formula>
    </cfRule>
  </conditionalFormatting>
  <conditionalFormatting sqref="N45:N48">
    <cfRule type="cellIs" dxfId="1" priority="44" operator="greaterThan">
      <formula>1000</formula>
    </cfRule>
  </conditionalFormatting>
  <conditionalFormatting sqref="N50:N53">
    <cfRule type="cellIs" dxfId="1" priority="38" operator="greaterThan">
      <formula>1000</formula>
    </cfRule>
  </conditionalFormatting>
  <conditionalFormatting sqref="N55:N58">
    <cfRule type="cellIs" dxfId="1" priority="32" operator="greaterThan">
      <formula>1000</formula>
    </cfRule>
  </conditionalFormatting>
  <conditionalFormatting sqref="N60:N63">
    <cfRule type="cellIs" dxfId="1" priority="26" operator="greaterThan">
      <formula>1000</formula>
    </cfRule>
  </conditionalFormatting>
  <conditionalFormatting sqref="N65:N68">
    <cfRule type="cellIs" dxfId="1" priority="20" operator="greaterThan">
      <formula>1000</formula>
    </cfRule>
  </conditionalFormatting>
  <conditionalFormatting sqref="N70:N73">
    <cfRule type="cellIs" dxfId="1" priority="14" operator="greaterThan">
      <formula>1000</formula>
    </cfRule>
  </conditionalFormatting>
  <conditionalFormatting sqref="N75:N78">
    <cfRule type="cellIs" dxfId="1" priority="8" operator="greaterThan">
      <formula>1000</formula>
    </cfRule>
  </conditionalFormatting>
  <conditionalFormatting sqref="N80:N83">
    <cfRule type="cellIs" dxfId="1" priority="2" operator="greaterThan">
      <formula>1000</formula>
    </cfRule>
  </conditionalFormatting>
  <conditionalFormatting sqref="S10:S13">
    <cfRule type="cellIs" dxfId="1" priority="87" operator="greaterThan">
      <formula>0.9</formula>
    </cfRule>
  </conditionalFormatting>
  <conditionalFormatting sqref="S15:S18">
    <cfRule type="cellIs" dxfId="1" priority="81" operator="greaterThan">
      <formula>0.9</formula>
    </cfRule>
  </conditionalFormatting>
  <conditionalFormatting sqref="S20:S23">
    <cfRule type="cellIs" dxfId="1" priority="75" operator="greaterThan">
      <formula>0.9</formula>
    </cfRule>
  </conditionalFormatting>
  <conditionalFormatting sqref="S25:S28">
    <cfRule type="cellIs" dxfId="1" priority="69" operator="greaterThan">
      <formula>0.9</formula>
    </cfRule>
  </conditionalFormatting>
  <conditionalFormatting sqref="S30:S33">
    <cfRule type="cellIs" dxfId="1" priority="63" operator="greaterThan">
      <formula>0.9</formula>
    </cfRule>
  </conditionalFormatting>
  <conditionalFormatting sqref="S35:S38">
    <cfRule type="cellIs" dxfId="1" priority="57" operator="greaterThan">
      <formula>0.9</formula>
    </cfRule>
  </conditionalFormatting>
  <conditionalFormatting sqref="S40:S43">
    <cfRule type="cellIs" dxfId="1" priority="51" operator="greaterThan">
      <formula>0.9</formula>
    </cfRule>
  </conditionalFormatting>
  <conditionalFormatting sqref="S45:S48">
    <cfRule type="cellIs" dxfId="1" priority="45" operator="greaterThan">
      <formula>0.9</formula>
    </cfRule>
  </conditionalFormatting>
  <conditionalFormatting sqref="S50:S53">
    <cfRule type="cellIs" dxfId="1" priority="39" operator="greaterThan">
      <formula>0.9</formula>
    </cfRule>
  </conditionalFormatting>
  <conditionalFormatting sqref="S55:S58">
    <cfRule type="cellIs" dxfId="1" priority="33" operator="greaterThan">
      <formula>0.9</formula>
    </cfRule>
  </conditionalFormatting>
  <conditionalFormatting sqref="S60:S63">
    <cfRule type="cellIs" dxfId="1" priority="27" operator="greaterThan">
      <formula>0.9</formula>
    </cfRule>
  </conditionalFormatting>
  <conditionalFormatting sqref="S65:S68">
    <cfRule type="cellIs" dxfId="1" priority="21" operator="greaterThan">
      <formula>0.9</formula>
    </cfRule>
  </conditionalFormatting>
  <conditionalFormatting sqref="S70:S73">
    <cfRule type="cellIs" dxfId="1" priority="15" operator="greaterThan">
      <formula>0.9</formula>
    </cfRule>
  </conditionalFormatting>
  <conditionalFormatting sqref="S75:S78">
    <cfRule type="cellIs" dxfId="1" priority="9" operator="greaterThan">
      <formula>0.9</formula>
    </cfRule>
  </conditionalFormatting>
  <conditionalFormatting sqref="S80:S83">
    <cfRule type="cellIs" dxfId="1" priority="3" operator="greaterThan">
      <formula>0.9</formula>
    </cfRule>
  </conditionalFormatting>
  <conditionalFormatting sqref="L4:L9 L84:L101">
    <cfRule type="cellIs" dxfId="0" priority="88" operator="greaterThan">
      <formula>0.01</formula>
    </cfRule>
  </conditionalFormatting>
  <conditionalFormatting sqref="N4:N9 N84:N101">
    <cfRule type="cellIs" dxfId="1" priority="89" operator="greaterThan">
      <formula>1000</formula>
    </cfRule>
  </conditionalFormatting>
  <conditionalFormatting sqref="S4:S9 S84:S101">
    <cfRule type="cellIs" dxfId="1" priority="90" operator="greaterThan">
      <formula>0.9</formula>
    </cfRule>
  </conditionalFormatting>
  <dataValidations count="1">
    <dataValidation type="list" allowBlank="1" sqref="U4:U101">
      <formula1>"待测试,通过,有条件通过,不通过,不入报告"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workbookViewId="0">
      <pane ySplit="3" topLeftCell="A4" activePane="bottomLeft" state="frozen"/>
      <selection/>
      <selection pane="bottomLeft" activeCell="T5" sqref="T5"/>
    </sheetView>
  </sheetViews>
  <sheetFormatPr defaultColWidth="9" defaultRowHeight="13.5"/>
  <cols>
    <col min="1" max="1" width="18" customWidth="1"/>
    <col min="2" max="2" width="34" customWidth="1"/>
    <col min="3" max="3" width="12" customWidth="1"/>
    <col min="4" max="4" width="28" customWidth="1"/>
    <col min="5" max="5" width="14" customWidth="1"/>
    <col min="6" max="6" width="38" customWidth="1"/>
    <col min="7" max="7" width="14" customWidth="1"/>
    <col min="8" max="8" width="16" customWidth="1"/>
    <col min="9" max="9" width="14" customWidth="1"/>
    <col min="10" max="10" width="28" customWidth="1"/>
  </cols>
  <sheetData>
    <row r="1" ht="24" customHeight="1" spans="1:1">
      <c r="A1" s="1" t="s">
        <v>389</v>
      </c>
    </row>
    <row r="2" ht="24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>
      <c r="A3" s="3" t="s">
        <v>180</v>
      </c>
      <c r="B3" s="3" t="s">
        <v>390</v>
      </c>
      <c r="C3" s="3" t="s">
        <v>391</v>
      </c>
      <c r="D3" s="3" t="s">
        <v>392</v>
      </c>
      <c r="E3" s="3" t="s">
        <v>393</v>
      </c>
      <c r="F3" s="3" t="s">
        <v>185</v>
      </c>
      <c r="G3" s="3" t="s">
        <v>4</v>
      </c>
      <c r="H3" s="3" t="s">
        <v>394</v>
      </c>
      <c r="I3" s="3" t="s">
        <v>36</v>
      </c>
      <c r="J3" s="3" t="s">
        <v>8</v>
      </c>
    </row>
    <row r="4" ht="24" customHeight="1" spans="1:10">
      <c r="A4" s="4" t="s">
        <v>283</v>
      </c>
      <c r="B4" s="4" t="s">
        <v>395</v>
      </c>
      <c r="C4" s="4" t="s">
        <v>396</v>
      </c>
      <c r="D4" s="4" t="s">
        <v>29</v>
      </c>
      <c r="E4" s="4" t="s">
        <v>397</v>
      </c>
      <c r="F4" s="4" t="s">
        <v>398</v>
      </c>
      <c r="G4" s="4" t="s">
        <v>14</v>
      </c>
      <c r="H4" s="4" t="s">
        <v>14</v>
      </c>
      <c r="I4" s="4" t="s">
        <v>29</v>
      </c>
      <c r="J4" s="4" t="s">
        <v>14</v>
      </c>
    </row>
    <row r="5" ht="24" customHeight="1" spans="1:10">
      <c r="A5" s="2" t="s">
        <v>399</v>
      </c>
      <c r="B5" s="2" t="s">
        <v>400</v>
      </c>
      <c r="C5" s="2" t="s">
        <v>396</v>
      </c>
      <c r="D5" s="2" t="s">
        <v>29</v>
      </c>
      <c r="E5" s="2" t="s">
        <v>401</v>
      </c>
      <c r="F5" s="2" t="s">
        <v>402</v>
      </c>
      <c r="G5" s="2" t="s">
        <v>14</v>
      </c>
      <c r="H5" s="2" t="s">
        <v>14</v>
      </c>
      <c r="I5" s="2" t="s">
        <v>29</v>
      </c>
      <c r="J5" s="2" t="s">
        <v>14</v>
      </c>
    </row>
    <row r="6" ht="24" customHeight="1" spans="1:10">
      <c r="A6" s="4" t="s">
        <v>403</v>
      </c>
      <c r="B6" s="4" t="s">
        <v>404</v>
      </c>
      <c r="C6" s="4" t="s">
        <v>396</v>
      </c>
      <c r="D6" s="4" t="s">
        <v>29</v>
      </c>
      <c r="E6" s="4" t="s">
        <v>405</v>
      </c>
      <c r="F6" s="4" t="s">
        <v>406</v>
      </c>
      <c r="G6" s="4" t="s">
        <v>14</v>
      </c>
      <c r="H6" s="4" t="s">
        <v>14</v>
      </c>
      <c r="I6" s="4" t="s">
        <v>29</v>
      </c>
      <c r="J6" s="4" t="s">
        <v>14</v>
      </c>
    </row>
    <row r="7" ht="24" customHeight="1" spans="1:10">
      <c r="A7" s="2" t="s">
        <v>28</v>
      </c>
      <c r="B7" s="2" t="s">
        <v>30</v>
      </c>
      <c r="C7" s="2" t="s">
        <v>396</v>
      </c>
      <c r="D7" s="2" t="s">
        <v>29</v>
      </c>
      <c r="E7" s="2" t="s">
        <v>407</v>
      </c>
      <c r="F7" s="2" t="s">
        <v>408</v>
      </c>
      <c r="G7" s="2" t="s">
        <v>14</v>
      </c>
      <c r="H7" s="2" t="s">
        <v>14</v>
      </c>
      <c r="I7" s="2" t="s">
        <v>29</v>
      </c>
      <c r="J7" s="2" t="s">
        <v>14</v>
      </c>
    </row>
    <row r="8" ht="24" customHeight="1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ht="24" customHeight="1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ht="24" customHeight="1" spans="1:10">
      <c r="A10" s="5" t="s">
        <v>409</v>
      </c>
      <c r="B10" s="6" t="s">
        <v>410</v>
      </c>
      <c r="C10" s="4"/>
      <c r="D10" s="4"/>
      <c r="E10" s="4"/>
      <c r="F10" s="4"/>
      <c r="G10" s="4"/>
      <c r="H10" s="4"/>
      <c r="I10" s="4"/>
      <c r="J10" s="4"/>
    </row>
    <row r="11" ht="24" customHeight="1" spans="1:10">
      <c r="A11" s="7" t="s">
        <v>55</v>
      </c>
      <c r="B11" s="7" t="s">
        <v>411</v>
      </c>
      <c r="C11" s="7" t="s">
        <v>412</v>
      </c>
      <c r="D11" s="7" t="s">
        <v>413</v>
      </c>
      <c r="E11" s="7" t="s">
        <v>414</v>
      </c>
      <c r="F11" s="7" t="s">
        <v>185</v>
      </c>
      <c r="G11" s="7" t="s">
        <v>415</v>
      </c>
      <c r="H11" s="7" t="s">
        <v>416</v>
      </c>
      <c r="I11" s="7" t="s">
        <v>7</v>
      </c>
      <c r="J11" s="7" t="s">
        <v>8</v>
      </c>
    </row>
    <row r="12" ht="24" customHeight="1" spans="1:10">
      <c r="A12" s="4" t="s">
        <v>417</v>
      </c>
      <c r="B12" s="4" t="s">
        <v>418</v>
      </c>
      <c r="C12" s="4" t="s">
        <v>68</v>
      </c>
      <c r="D12" s="4" t="s">
        <v>419</v>
      </c>
      <c r="E12" s="4" t="s">
        <v>420</v>
      </c>
      <c r="F12" s="4" t="s">
        <v>421</v>
      </c>
      <c r="G12" s="4" t="s">
        <v>14</v>
      </c>
      <c r="H12" s="4" t="s">
        <v>14</v>
      </c>
      <c r="I12" s="4" t="s">
        <v>422</v>
      </c>
      <c r="J12" s="4" t="s">
        <v>14</v>
      </c>
    </row>
    <row r="13" ht="24" customHeight="1" spans="1:10">
      <c r="A13" s="2" t="s">
        <v>423</v>
      </c>
      <c r="B13" s="2" t="s">
        <v>424</v>
      </c>
      <c r="C13" s="2" t="s">
        <v>74</v>
      </c>
      <c r="D13" s="2" t="s">
        <v>425</v>
      </c>
      <c r="E13" s="2" t="s">
        <v>426</v>
      </c>
      <c r="F13" s="2" t="s">
        <v>427</v>
      </c>
      <c r="G13" s="2" t="s">
        <v>14</v>
      </c>
      <c r="H13" s="2" t="s">
        <v>14</v>
      </c>
      <c r="I13" s="2" t="s">
        <v>168</v>
      </c>
      <c r="J13" s="2" t="s">
        <v>14</v>
      </c>
    </row>
    <row r="14" ht="24" customHeight="1" spans="1:10">
      <c r="A14" s="4" t="s">
        <v>428</v>
      </c>
      <c r="B14" s="4" t="s">
        <v>429</v>
      </c>
      <c r="C14" s="4" t="s">
        <v>68</v>
      </c>
      <c r="D14" s="4" t="s">
        <v>430</v>
      </c>
      <c r="E14" s="4" t="s">
        <v>431</v>
      </c>
      <c r="F14" s="4" t="s">
        <v>432</v>
      </c>
      <c r="G14" s="4" t="s">
        <v>14</v>
      </c>
      <c r="H14" s="4" t="s">
        <v>14</v>
      </c>
      <c r="I14" s="4" t="s">
        <v>422</v>
      </c>
      <c r="J14" s="4" t="s">
        <v>14</v>
      </c>
    </row>
    <row r="15" ht="24" customHeight="1" spans="1:10">
      <c r="A15" s="2" t="s">
        <v>433</v>
      </c>
      <c r="B15" s="2" t="s">
        <v>434</v>
      </c>
      <c r="C15" s="2" t="s">
        <v>74</v>
      </c>
      <c r="D15" s="2" t="s">
        <v>435</v>
      </c>
      <c r="E15" s="2" t="s">
        <v>426</v>
      </c>
      <c r="F15" s="2" t="s">
        <v>436</v>
      </c>
      <c r="G15" s="2" t="s">
        <v>14</v>
      </c>
      <c r="H15" s="2" t="s">
        <v>14</v>
      </c>
      <c r="I15" s="2" t="s">
        <v>168</v>
      </c>
      <c r="J15" s="2" t="s">
        <v>14</v>
      </c>
    </row>
  </sheetData>
  <mergeCells count="2">
    <mergeCell ref="A1:J1"/>
    <mergeCell ref="B10:J10"/>
  </mergeCells>
  <dataValidations count="3">
    <dataValidation type="list" allowBlank="1" sqref="C12:C41">
      <formula1>"高,中,低"</formula1>
    </dataValidation>
    <dataValidation type="list" allowBlank="1" sqref="D4:D20">
      <formula1>"待测试,是,否,部分达标"</formula1>
    </dataValidation>
    <dataValidation type="list" allowBlank="1" sqref="I12:I41">
      <formula1>"未开始,处理中,待确认,已解决,接受风险"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01_业务总览</vt:lpstr>
      <vt:lpstr>02_接口范围</vt:lpstr>
      <vt:lpstr>03_压测场景</vt:lpstr>
      <vt:lpstr>04_TDSQLC观测</vt:lpstr>
      <vt:lpstr>05_数据准备</vt:lpstr>
      <vt:lpstr>06_执行记录</vt:lpstr>
      <vt:lpstr>07_结论与风险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林建烽</cp:lastModifiedBy>
  <dcterms:created xsi:type="dcterms:W3CDTF">2026-05-12T10:03:00Z</dcterms:created>
  <dcterms:modified xsi:type="dcterms:W3CDTF">2026-05-18T03:32:10Z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1F284515EEEA4EB0A3FFD11C238364F2_12</vt:lpwstr>
  </property>
  <property fmtid="{D5CDD505-2E9C-101B-9397-08002B2CF9AE}" pid="3" name="KSOProductBuildVer">
    <vt:lpwstr>2052-12.1.0.19302</vt:lpwstr>
  </property>
</Properties>
</file>